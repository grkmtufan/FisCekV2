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ĞUSTOS 2026 Fişler" sheetId="2" state="visible" r:id="rId2"/>
  </sheets>
  <definedNames>
    <definedName name="Titles">#REF!</definedName>
    <definedName name="_xlnm._FilterDatabase" localSheetId="0" hidden="1">'DATA'!$B$21:$C$105</definedName>
    <definedName name="Titles" localSheetId="1">'AĞUSTOS 2026 Fişler'!#REF!</definedName>
    <definedName name="_xlnm._FilterDatabase" localSheetId="1" hidden="1">'AĞUSTOS 2026 Fişler'!$A$3:$BP$38</definedName>
  </definedNames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,##0.00\ &quot;TL&quot;"/>
    <numFmt numFmtId="165" formatCode="#,##0.00##"/>
  </numFmts>
  <fonts count="6">
    <font>
      <name val="Aptos Narrow"/>
      <family val="2"/>
      <color indexed="8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</font>
  </fonts>
  <fills count="5">
    <fill>
      <patternFill/>
    </fill>
    <fill>
      <patternFill patternType="gray125"/>
    </fill>
    <fill>
      <patternFill>
        <fgColor indexed="22"/>
      </patternFill>
    </fill>
    <fill>
      <patternFill patternType="solid">
        <fgColor rgb="FFD3D3D3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1" fillId="0" borderId="0"/>
    <xf numFmtId="0" fontId="1" fillId="2" borderId="0"/>
    <xf numFmtId="0" fontId="1" fillId="2" borderId="0"/>
    <xf numFmtId="0" fontId="1" fillId="2" borderId="0"/>
    <xf numFmtId="0" fontId="1" fillId="2" borderId="0"/>
    <xf numFmtId="0" fontId="3" fillId="2" borderId="0"/>
    <xf numFmtId="0" fontId="4" fillId="2" borderId="0"/>
    <xf numFmtId="0" fontId="4" fillId="2" borderId="0"/>
    <xf numFmtId="44" fontId="3" fillId="2" borderId="0"/>
    <xf numFmtId="9" fontId="3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</cellStyleXfs>
  <cellXfs count="26">
    <xf numFmtId="0" fontId="0" fillId="0" borderId="0" pivotButton="0" quotePrefix="0" xfId="0"/>
    <xf numFmtId="0" fontId="3" fillId="2" borderId="0" pivotButton="0" quotePrefix="0" xfId="5"/>
    <xf numFmtId="0" fontId="3" fillId="2" borderId="0" applyAlignment="1" pivotButton="0" quotePrefix="0" xfId="5">
      <alignment horizontal="center"/>
    </xf>
    <xf numFmtId="164" fontId="3" fillId="2" borderId="0" pivotButton="0" quotePrefix="0" xfId="5"/>
    <xf numFmtId="4" fontId="3" fillId="2" borderId="0" pivotButton="0" quotePrefix="0" xfId="5"/>
    <xf numFmtId="165" fontId="3" fillId="2" borderId="0" pivotButton="0" quotePrefix="0" xfId="5"/>
    <xf numFmtId="164" fontId="5" fillId="2" borderId="0" pivotButton="0" quotePrefix="0" xfId="5"/>
    <xf numFmtId="0" fontId="3" fillId="2" borderId="0" applyAlignment="1" pivotButton="0" quotePrefix="0" xfId="5">
      <alignment horizontal="right"/>
    </xf>
    <xf numFmtId="0" fontId="5" fillId="2" borderId="0" pivotButton="0" quotePrefix="0" xfId="5"/>
    <xf numFmtId="4" fontId="5" fillId="2" borderId="0" pivotButton="0" quotePrefix="0" xfId="5"/>
    <xf numFmtId="0" fontId="3" fillId="2" borderId="0" pivotButton="0" quotePrefix="0" xfId="5"/>
    <xf numFmtId="0" fontId="5" fillId="2" borderId="0" applyAlignment="1" pivotButton="0" quotePrefix="0" xfId="5">
      <alignment horizontal="center"/>
    </xf>
    <xf numFmtId="0" fontId="5" fillId="2" borderId="0" applyAlignment="1" pivotButton="0" quotePrefix="0" xfId="5">
      <alignment horizontal="right"/>
    </xf>
    <xf numFmtId="164" fontId="3" fillId="2" borderId="0" pivotButton="0" quotePrefix="0" xfId="5"/>
    <xf numFmtId="49" fontId="3" fillId="2" borderId="0" applyAlignment="1" pivotButton="0" quotePrefix="0" xfId="5">
      <alignment horizontal="center"/>
    </xf>
    <xf numFmtId="14" fontId="3" fillId="2" borderId="0" applyAlignment="1" pivotButton="0" quotePrefix="0" xfId="5">
      <alignment horizontal="center" vertical="center"/>
    </xf>
    <xf numFmtId="49" fontId="3" fillId="2" borderId="0" pivotButton="0" quotePrefix="0" xfId="5"/>
    <xf numFmtId="0" fontId="3" fillId="2" borderId="0" applyAlignment="1" pivotButton="0" quotePrefix="1" xfId="5">
      <alignment horizontal="center"/>
    </xf>
    <xf numFmtId="0" fontId="5" fillId="3" borderId="0" applyAlignment="1" pivotButton="0" quotePrefix="0" xfId="5">
      <alignment horizontal="center"/>
    </xf>
    <xf numFmtId="0" fontId="3" fillId="3" borderId="0" applyAlignment="1" pivotButton="0" quotePrefix="0" xfId="5">
      <alignment horizontal="center"/>
    </xf>
    <xf numFmtId="0" fontId="3" fillId="2" borderId="0" pivotButton="0" quotePrefix="1" xfId="5"/>
    <xf numFmtId="0" fontId="3" fillId="2" borderId="1" applyAlignment="1" pivotButton="0" quotePrefix="0" xfId="5">
      <alignment horizontal="center" wrapText="1"/>
    </xf>
    <xf numFmtId="0" fontId="3" fillId="4" borderId="0" applyAlignment="1" pivotButton="0" quotePrefix="0" xfId="5">
      <alignment horizontal="center"/>
    </xf>
    <xf numFmtId="4" fontId="3" fillId="4" borderId="0" applyAlignment="1" pivotButton="0" quotePrefix="0" xfId="5">
      <alignment horizontal="center"/>
    </xf>
    <xf numFmtId="0" fontId="3" fillId="4" borderId="0" applyAlignment="1" pivotButton="0" quotePrefix="0" xfId="5">
      <alignment horizontal="center"/>
    </xf>
    <xf numFmtId="0" fontId="3" fillId="2" borderId="0" applyAlignment="1" pivotButton="0" quotePrefix="0" xfId="5">
      <alignment horizontal="center"/>
    </xf>
  </cellXfs>
  <cellStyles count="21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2 2" xfId="6"/>
    <cellStyle name="Normal 3 2" xfId="7"/>
    <cellStyle name="Currency 2" xfId="8"/>
    <cellStyle name="Percent 2" xfId="9"/>
    <cellStyle name="Normal 7" xfId="10"/>
    <cellStyle name="Normal 8" xfId="11"/>
    <cellStyle name="Normal 9" xfId="12"/>
    <cellStyle name="Normal 10" xfId="13"/>
    <cellStyle name="Normal 11" xfId="14"/>
    <cellStyle name="Normal 12" xfId="15"/>
    <cellStyle name="Normal 13" xfId="16"/>
    <cellStyle name="Normal 14" xfId="17"/>
    <cellStyle name="Normal 15" xfId="18"/>
    <cellStyle name="Normal 16" xfId="19"/>
    <cellStyle name="Normal 17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307"/>
  <sheetViews>
    <sheetView topLeftCell="A168" zoomScale="115" zoomScaleNormal="115" workbookViewId="0">
      <selection activeCell="C308" sqref="C308"/>
    </sheetView>
  </sheetViews>
  <sheetFormatPr baseColWidth="8" defaultColWidth="8.90625" defaultRowHeight="14.5"/>
  <cols>
    <col width="8.90625" customWidth="1" style="10" min="1" max="1"/>
    <col width="22.6328125" customWidth="1" style="25" min="2" max="2"/>
    <col width="29.6328125" bestFit="1" customWidth="1" style="10" min="3" max="3"/>
    <col width="8.90625" customWidth="1" style="10" min="4" max="16384"/>
  </cols>
  <sheetData>
    <row r="4">
      <c r="B4" s="21" t="inlineStr">
        <is>
          <t>TÜR GİDER-NEVİ</t>
        </is>
      </c>
    </row>
    <row r="5">
      <c r="B5" s="24" t="inlineStr">
        <is>
          <t>Aksesuar</t>
        </is>
      </c>
    </row>
    <row r="6">
      <c r="B6" s="24" t="inlineStr">
        <is>
          <t>Bakım-Onarım</t>
        </is>
      </c>
    </row>
    <row r="7">
      <c r="B7" s="23" t="inlineStr">
        <is>
          <t>Gıda</t>
        </is>
      </c>
    </row>
    <row r="8">
      <c r="B8" s="24" t="inlineStr">
        <is>
          <t>Giyim</t>
        </is>
      </c>
    </row>
    <row r="9">
      <c r="B9" s="23" t="inlineStr">
        <is>
          <t>Kırtasiye</t>
        </is>
      </c>
    </row>
    <row r="10">
      <c r="B10" s="23" t="inlineStr">
        <is>
          <t>Muhtelif</t>
        </is>
      </c>
    </row>
    <row r="11">
      <c r="B11" s="24" t="inlineStr">
        <is>
          <t>Sağlık</t>
        </is>
      </c>
    </row>
    <row r="12">
      <c r="B12" s="24" t="inlineStr">
        <is>
          <t>Seyahat Gideri</t>
        </is>
      </c>
    </row>
    <row r="13">
      <c r="B13" s="24" t="inlineStr">
        <is>
          <t>Temizlik</t>
        </is>
      </c>
    </row>
    <row r="14">
      <c r="B14" s="24" t="inlineStr">
        <is>
          <t>Temsil ve Ağırlama</t>
        </is>
      </c>
    </row>
    <row r="15">
      <c r="B15" s="24" t="inlineStr">
        <is>
          <t>Ulaşım</t>
        </is>
      </c>
    </row>
    <row r="16">
      <c r="B16" s="23" t="inlineStr">
        <is>
          <t>Yakıt</t>
        </is>
      </c>
    </row>
    <row r="21">
      <c r="B21" s="19" t="inlineStr">
        <is>
          <t>VKN</t>
        </is>
      </c>
      <c r="C21" s="18" t="inlineStr">
        <is>
          <t>SATICI ADI SOYADI</t>
        </is>
      </c>
    </row>
    <row r="22">
      <c r="B22" s="25" t="n">
        <v>10587400</v>
      </c>
      <c r="C22" s="10" t="inlineStr">
        <is>
          <t>4 AKC TEKSTİL</t>
        </is>
      </c>
    </row>
    <row r="23">
      <c r="B23" s="25" t="n">
        <v>9480423762</v>
      </c>
      <c r="C23" s="10" t="inlineStr">
        <is>
          <t>A101</t>
        </is>
      </c>
    </row>
    <row r="24">
      <c r="B24" s="25" t="n">
        <v>26962348684</v>
      </c>
      <c r="C24" s="10" t="inlineStr">
        <is>
          <t>ABANT SERPİL AKMAN</t>
        </is>
      </c>
    </row>
    <row r="25">
      <c r="B25" s="25" t="n">
        <v>81955351</v>
      </c>
      <c r="C25" s="10" t="inlineStr">
        <is>
          <t>AEK YİYECEK İÇECEK TURİZM</t>
        </is>
      </c>
    </row>
    <row r="26">
      <c r="B26" s="25" t="n">
        <v>101497274</v>
      </c>
      <c r="C26" s="10" t="inlineStr">
        <is>
          <t>AHKA GIDA</t>
        </is>
      </c>
    </row>
    <row r="27">
      <c r="B27" s="25" t="n">
        <v>390123770</v>
      </c>
      <c r="C27" s="10" t="inlineStr">
        <is>
          <t>AHMET AKTAŞ EBRUM PASTANESİ</t>
        </is>
      </c>
    </row>
    <row r="28">
      <c r="B28" s="25" t="n">
        <v>130060931</v>
      </c>
      <c r="C28" s="10" t="inlineStr">
        <is>
          <t>AKARYAKIT PAZARLAMA</t>
        </is>
      </c>
    </row>
    <row r="29">
      <c r="B29" s="25" t="n">
        <v>8020775522</v>
      </c>
      <c r="C29" s="10" t="inlineStr">
        <is>
          <t>AKÇALAR GIDA</t>
        </is>
      </c>
    </row>
    <row r="30">
      <c r="B30" s="25" t="n">
        <v>180028584</v>
      </c>
      <c r="C30" s="10" t="inlineStr">
        <is>
          <t>AKÇASARAYLI</t>
        </is>
      </c>
    </row>
    <row r="31">
      <c r="B31" s="25" t="n">
        <v>270562743</v>
      </c>
      <c r="C31" s="10" t="inlineStr">
        <is>
          <t>AKINCI RESTAURANT</t>
        </is>
      </c>
    </row>
    <row r="32">
      <c r="B32" s="25" t="n">
        <v>510273311</v>
      </c>
      <c r="C32" s="10" t="inlineStr">
        <is>
          <t>ALGA GIDA</t>
        </is>
      </c>
    </row>
    <row r="33">
      <c r="B33" s="25" t="n">
        <v>20690706044</v>
      </c>
      <c r="C33" s="10" t="inlineStr">
        <is>
          <t>ALİ MAĞAZALARI</t>
        </is>
      </c>
    </row>
    <row r="34">
      <c r="B34" s="25" t="n">
        <v>630236290</v>
      </c>
      <c r="C34" s="10" t="inlineStr">
        <is>
          <t>ALTINKILIÇLAR</t>
        </is>
      </c>
    </row>
    <row r="35">
      <c r="B35" s="25" t="n">
        <v>670092983</v>
      </c>
      <c r="C35" s="10" t="inlineStr">
        <is>
          <t>ALTINSU PAZARLAMA</t>
        </is>
      </c>
    </row>
    <row r="36">
      <c r="B36" s="25" t="n">
        <v>670092983</v>
      </c>
      <c r="C36" s="10" t="inlineStr">
        <is>
          <t>ALTUNSU GIDA</t>
        </is>
      </c>
    </row>
    <row r="37">
      <c r="B37" s="25" t="n">
        <v>6130398713</v>
      </c>
      <c r="C37" s="10" t="inlineStr">
        <is>
          <t>ANADOLU REST.McD</t>
        </is>
      </c>
    </row>
    <row r="38">
      <c r="B38" s="25" t="n">
        <v>691153397</v>
      </c>
      <c r="C38" s="10" t="inlineStr">
        <is>
          <t>ANDROMEDA PLATFORM</t>
        </is>
      </c>
    </row>
    <row r="39">
      <c r="B39" s="25" t="n">
        <v>690469694</v>
      </c>
      <c r="C39" s="10" t="inlineStr">
        <is>
          <t>ANIK ECZANESİ</t>
        </is>
      </c>
    </row>
    <row r="40">
      <c r="B40" s="25" t="n">
        <v>20344732498</v>
      </c>
      <c r="C40" s="10" t="inlineStr">
        <is>
          <t>ANKARA SERESERPE KÖFTECİ</t>
        </is>
      </c>
    </row>
    <row r="41">
      <c r="B41" s="25" t="n">
        <v>700365011</v>
      </c>
      <c r="C41" s="10" t="inlineStr">
        <is>
          <t>ANTACA</t>
        </is>
      </c>
    </row>
    <row r="42">
      <c r="B42" s="17" t="n">
        <v>710414224</v>
      </c>
      <c r="C42" s="10" t="inlineStr">
        <is>
          <t xml:space="preserve">APPLE TEKNOLOJİ </t>
        </is>
      </c>
    </row>
    <row r="43">
      <c r="B43" s="25" t="n">
        <v>920913654</v>
      </c>
      <c r="C43" s="10" t="inlineStr">
        <is>
          <t>ATA OTOPARK</t>
        </is>
      </c>
    </row>
    <row r="44">
      <c r="B44" s="25" t="n">
        <v>930276314</v>
      </c>
      <c r="C44" s="10" t="inlineStr">
        <is>
          <t>ATADAN LTD ŞTİ KRONOTROP</t>
        </is>
      </c>
    </row>
    <row r="45">
      <c r="B45" s="25" t="n">
        <v>1030552424</v>
      </c>
      <c r="C45" s="10" t="inlineStr">
        <is>
          <t>ATMOSFER GIDA</t>
        </is>
      </c>
    </row>
    <row r="46">
      <c r="B46" s="25" t="n">
        <v>1271072425</v>
      </c>
      <c r="C46" s="10" t="inlineStr">
        <is>
          <t>B1 KAFE</t>
        </is>
      </c>
    </row>
    <row r="47">
      <c r="B47" s="25" t="n">
        <v>1280024024</v>
      </c>
      <c r="C47" s="10" t="inlineStr">
        <is>
          <t>BABAN PETROL</t>
        </is>
      </c>
    </row>
    <row r="48">
      <c r="B48" s="25" t="n">
        <v>16873983814</v>
      </c>
      <c r="C48" s="10" t="inlineStr">
        <is>
          <t>BALİKÇI TEMEL KARTAL</t>
        </is>
      </c>
    </row>
    <row r="49">
      <c r="B49" s="25" t="n">
        <v>10231280232</v>
      </c>
      <c r="C49" s="10" t="inlineStr">
        <is>
          <t>BALKAN MEZELERİ  GÜLTEKİN KOCAKUŞAK</t>
        </is>
      </c>
    </row>
    <row r="50">
      <c r="B50" s="25" t="n">
        <v>1420004626</v>
      </c>
      <c r="C50" s="10" t="inlineStr">
        <is>
          <t>BARBAROS PETROL</t>
        </is>
      </c>
    </row>
    <row r="51">
      <c r="B51" s="14" t="inlineStr">
        <is>
          <t>4842287013</t>
        </is>
      </c>
      <c r="C51" s="10" t="inlineStr">
        <is>
          <t>BARGOZZY PİZZA</t>
        </is>
      </c>
    </row>
    <row r="52">
      <c r="B52" s="25" t="n">
        <v>1500053692</v>
      </c>
      <c r="C52" s="10" t="inlineStr">
        <is>
          <t>BAUHAUS İNŞ MALZ</t>
        </is>
      </c>
    </row>
    <row r="53">
      <c r="B53" s="25" t="n">
        <v>1501475570</v>
      </c>
      <c r="C53" s="10" t="inlineStr">
        <is>
          <t>BAUHAUS İNŞ MALZ A.Ş.</t>
        </is>
      </c>
    </row>
    <row r="54">
      <c r="B54" s="25" t="n">
        <v>1601663132</v>
      </c>
      <c r="C54" s="10" t="inlineStr">
        <is>
          <t>BB CO GIDA COLD STONE</t>
        </is>
      </c>
    </row>
    <row r="55">
      <c r="B55" s="25" t="n">
        <v>1630564632</v>
      </c>
      <c r="C55" s="10" t="inlineStr">
        <is>
          <t>BEMAY OTOPARK</t>
        </is>
      </c>
    </row>
    <row r="56">
      <c r="B56" s="25" t="n">
        <v>1660783094</v>
      </c>
      <c r="C56" s="10" t="inlineStr">
        <is>
          <t>BEŞÇEŞMELER LTD ŞTİ</t>
        </is>
      </c>
    </row>
    <row r="57">
      <c r="B57" s="25" t="n">
        <v>1670026600</v>
      </c>
      <c r="C57" s="10" t="inlineStr">
        <is>
          <t>BEYAZ FIRIN</t>
        </is>
      </c>
    </row>
    <row r="58">
      <c r="B58" s="25" t="n">
        <v>1750051846</v>
      </c>
      <c r="C58" s="10" t="inlineStr">
        <is>
          <t>BİM BİRLEŞİK MAĞAZALAR</t>
        </is>
      </c>
    </row>
    <row r="59">
      <c r="B59" s="25" t="n">
        <v>1781828139</v>
      </c>
      <c r="C59" s="10" t="inlineStr">
        <is>
          <t>BOAC BOCCİ GIDA</t>
        </is>
      </c>
    </row>
    <row r="60">
      <c r="B60" s="25" t="n">
        <v>1791617917</v>
      </c>
      <c r="C60" s="10" t="inlineStr">
        <is>
          <t>BOI GIDA</t>
        </is>
      </c>
    </row>
    <row r="61">
      <c r="B61" s="25" t="n">
        <v>721179351</v>
      </c>
      <c r="C61" s="10" t="inlineStr">
        <is>
          <t>BONO-ARASHAN GIDA</t>
        </is>
      </c>
    </row>
    <row r="62">
      <c r="B62" s="25" t="n">
        <v>1800852166</v>
      </c>
      <c r="C62" s="10" t="inlineStr">
        <is>
          <t>BORULAY TURİZM</t>
        </is>
      </c>
    </row>
    <row r="63">
      <c r="B63" s="25" t="n">
        <v>38899508932</v>
      </c>
      <c r="C63" s="10" t="inlineStr">
        <is>
          <t>CAN COPY</t>
        </is>
      </c>
    </row>
    <row r="64">
      <c r="B64" s="25" t="n">
        <v>2010833687</v>
      </c>
      <c r="C64" s="10" t="inlineStr">
        <is>
          <t>CANİK GRUP GIDA LTD ŞTİ</t>
        </is>
      </c>
    </row>
    <row r="65">
      <c r="B65" s="25" t="n">
        <v>2030017071</v>
      </c>
      <c r="C65" s="10" t="inlineStr">
        <is>
          <t>CARREFOURSA A.Ş</t>
        </is>
      </c>
    </row>
    <row r="66">
      <c r="B66" s="25" t="n">
        <v>60804481551</v>
      </c>
      <c r="C66" s="10" t="inlineStr">
        <is>
          <t xml:space="preserve">CEVİZ AĞACI GIDA </t>
        </is>
      </c>
    </row>
    <row r="67">
      <c r="B67" s="25" t="n">
        <v>2111527606</v>
      </c>
      <c r="C67" s="10" t="inlineStr">
        <is>
          <t>CIRO REST İŞL. A.Ş.</t>
        </is>
      </c>
    </row>
    <row r="68">
      <c r="B68" s="25" t="n">
        <v>2200621779</v>
      </c>
      <c r="C68" s="10" t="inlineStr">
        <is>
          <t>ÇAĞRI MAĞAZACILIK</t>
        </is>
      </c>
    </row>
    <row r="69">
      <c r="B69" s="25" t="n">
        <v>2400567622</v>
      </c>
      <c r="C69" s="10" t="inlineStr">
        <is>
          <t>ÇELİK DENİZCİLİK VALE</t>
        </is>
      </c>
    </row>
    <row r="70">
      <c r="B70" s="25" t="n">
        <v>2580298413</v>
      </c>
      <c r="C70" s="10" t="inlineStr">
        <is>
          <t>ÇİYA KEBAB GIDA TURZ</t>
        </is>
      </c>
    </row>
    <row r="71">
      <c r="B71" s="25" t="n">
        <v>2620690328</v>
      </c>
      <c r="C71" s="10" t="inlineStr">
        <is>
          <t xml:space="preserve">ÇÖKELEK GIDA İNŞAAT </t>
        </is>
      </c>
    </row>
    <row r="72">
      <c r="B72" s="25" t="n">
        <v>91075163</v>
      </c>
      <c r="C72" s="10" t="inlineStr">
        <is>
          <t>DALGIÇ GRUP PİZZERİA POSİTANO</t>
        </is>
      </c>
    </row>
    <row r="73">
      <c r="B73" s="25" t="n">
        <v>8930586667</v>
      </c>
      <c r="C73" s="10" t="inlineStr">
        <is>
          <t>DATE CATERİNG</t>
        </is>
      </c>
    </row>
    <row r="74">
      <c r="B74" s="25" t="n">
        <v>2720967671</v>
      </c>
      <c r="C74" s="10" t="inlineStr">
        <is>
          <t xml:space="preserve">DEDE ACARLAR GIDA </t>
        </is>
      </c>
    </row>
    <row r="75">
      <c r="B75" s="25" t="n">
        <v>2921383317</v>
      </c>
      <c r="C75" s="10" t="inlineStr">
        <is>
          <t>DENİZÖNÜ TAVUKÇULUK</t>
        </is>
      </c>
    </row>
    <row r="76">
      <c r="B76" s="25" t="n">
        <v>2971251711</v>
      </c>
      <c r="C76" s="10" t="inlineStr">
        <is>
          <t>DİNAMİT GIDA</t>
        </is>
      </c>
    </row>
    <row r="77">
      <c r="B77" s="25" t="n">
        <v>7350667910</v>
      </c>
      <c r="C77" s="10" t="inlineStr">
        <is>
          <t>DİRK ROSSMANN</t>
        </is>
      </c>
    </row>
    <row r="78">
      <c r="B78" s="25" t="n">
        <v>7200416873</v>
      </c>
      <c r="C78" s="10" t="inlineStr">
        <is>
          <t>DİVAN TURİZM</t>
        </is>
      </c>
    </row>
    <row r="79">
      <c r="B79" s="25" t="n">
        <v>3010056979</v>
      </c>
      <c r="C79" s="10" t="inlineStr">
        <is>
          <t>DİYAR BURMA TATLICILIK</t>
        </is>
      </c>
    </row>
    <row r="80">
      <c r="B80" s="25" t="n">
        <v>2650179910</v>
      </c>
      <c r="C80" s="10" t="inlineStr">
        <is>
          <t>D-MARKET</t>
        </is>
      </c>
    </row>
    <row r="81">
      <c r="B81" s="25" t="n">
        <v>3101463686</v>
      </c>
      <c r="C81" s="10" t="inlineStr">
        <is>
          <t>DOREMÜZİK</t>
        </is>
      </c>
    </row>
    <row r="82">
      <c r="B82" s="25" t="n">
        <v>3141239193</v>
      </c>
      <c r="C82" s="10" t="inlineStr">
        <is>
          <t>DUPONT 75 GIDA</t>
        </is>
      </c>
    </row>
    <row r="83">
      <c r="B83" s="25" t="n">
        <v>3220311114</v>
      </c>
      <c r="C83" s="10" t="inlineStr">
        <is>
          <t>DÜNYA OTOMOTİV</t>
        </is>
      </c>
    </row>
    <row r="84">
      <c r="B84" s="25" t="n">
        <v>14021430128</v>
      </c>
      <c r="C84" s="10" t="inlineStr">
        <is>
          <t>ECZANE LOTUS</t>
        </is>
      </c>
    </row>
    <row r="85">
      <c r="B85" s="25" t="n">
        <v>3300053929</v>
      </c>
      <c r="C85" s="10" t="inlineStr">
        <is>
          <t>EKUR ET AMASYA ET</t>
        </is>
      </c>
    </row>
    <row r="86">
      <c r="B86" s="25" t="n">
        <v>3890038872</v>
      </c>
      <c r="C86" s="10" t="inlineStr">
        <is>
          <t>EMİROĞLU</t>
        </is>
      </c>
    </row>
    <row r="87">
      <c r="B87" s="25" t="n">
        <v>24265638860</v>
      </c>
      <c r="C87" s="10" t="inlineStr">
        <is>
          <t xml:space="preserve">EMRECAN CENGİZ_3 MONKEY </t>
        </is>
      </c>
    </row>
    <row r="88">
      <c r="B88" s="25" t="n">
        <v>52837505678</v>
      </c>
      <c r="C88" s="10" t="inlineStr">
        <is>
          <t>EMRULLAH KARA TARİHİ BEYOĞLU PRF</t>
        </is>
      </c>
    </row>
    <row r="89">
      <c r="B89" s="25" t="n">
        <v>3341263823</v>
      </c>
      <c r="C89" s="10" t="inlineStr">
        <is>
          <t>ENFISTIK LTD ŞTİ</t>
        </is>
      </c>
    </row>
    <row r="90">
      <c r="B90" s="25" t="n">
        <v>3520023138</v>
      </c>
      <c r="C90" s="10" t="inlineStr">
        <is>
          <t>EREL OTOMOTİV</t>
        </is>
      </c>
    </row>
    <row r="91">
      <c r="B91" s="25" t="n">
        <v>12407995704</v>
      </c>
      <c r="C91" s="10" t="inlineStr">
        <is>
          <t>EREN ET</t>
        </is>
      </c>
    </row>
    <row r="92">
      <c r="B92" s="25" t="n">
        <v>3430333513</v>
      </c>
      <c r="C92" s="10" t="inlineStr">
        <is>
          <t>EREN PAREKENDECİLİK</t>
        </is>
      </c>
    </row>
    <row r="93">
      <c r="B93" s="25" t="n">
        <v>3540624017</v>
      </c>
      <c r="C93" s="10" t="inlineStr">
        <is>
          <t xml:space="preserve">ERENKÖY UNLU </t>
        </is>
      </c>
    </row>
    <row r="94">
      <c r="B94" s="25" t="n">
        <v>3540052332</v>
      </c>
      <c r="C94" s="10" t="inlineStr">
        <is>
          <t>ERENLER ET</t>
        </is>
      </c>
    </row>
    <row r="95">
      <c r="B95" s="25" t="n">
        <v>3590289171</v>
      </c>
      <c r="C95" s="10" t="inlineStr">
        <is>
          <t>ERHAN DEDEOĞLU PETROL</t>
        </is>
      </c>
    </row>
    <row r="96">
      <c r="B96" s="25" t="n">
        <v>6990239185</v>
      </c>
      <c r="C96" s="10" t="inlineStr">
        <is>
          <t>ERHAN ÖZKAYA</t>
        </is>
      </c>
    </row>
    <row r="97">
      <c r="B97" s="25" t="n">
        <v>3770464983</v>
      </c>
      <c r="C97" s="10" t="inlineStr">
        <is>
          <t>ES PERFORMANS GÖSTERİ</t>
        </is>
      </c>
    </row>
    <row r="98">
      <c r="B98" s="25" t="n">
        <v>22433552062</v>
      </c>
      <c r="C98" s="10" t="inlineStr">
        <is>
          <t>ESENKÖŞK RESTAURANT</t>
        </is>
      </c>
    </row>
    <row r="99">
      <c r="B99" s="25" t="n">
        <v>3800537841</v>
      </c>
      <c r="C99" s="10" t="inlineStr">
        <is>
          <t xml:space="preserve">ESLAB </t>
        </is>
      </c>
    </row>
    <row r="100">
      <c r="B100" s="25" t="n">
        <v>3801026245</v>
      </c>
      <c r="C100" s="10" t="inlineStr">
        <is>
          <t>ESPERANZA</t>
        </is>
      </c>
    </row>
    <row r="101">
      <c r="B101" s="25" t="n">
        <v>3810098887</v>
      </c>
      <c r="C101" s="10" t="inlineStr">
        <is>
          <t xml:space="preserve">ETİLER GIDA </t>
        </is>
      </c>
    </row>
    <row r="102">
      <c r="B102" s="25" t="n">
        <v>3810040790</v>
      </c>
      <c r="C102" s="10" t="inlineStr">
        <is>
          <t>ETS ERSOY TURİZM</t>
        </is>
      </c>
    </row>
    <row r="103">
      <c r="B103" s="25" t="n">
        <v>6110531844</v>
      </c>
      <c r="C103" s="10" t="inlineStr">
        <is>
          <t>EVİDEA</t>
        </is>
      </c>
    </row>
    <row r="104">
      <c r="B104" s="25" t="n">
        <v>3820222965</v>
      </c>
      <c r="C104" s="10" t="inlineStr">
        <is>
          <t>EVKİBA KİŞİSEL BAKIM</t>
        </is>
      </c>
    </row>
    <row r="105">
      <c r="B105" s="25" t="n">
        <v>3830889702</v>
      </c>
      <c r="C105" s="10" t="inlineStr">
        <is>
          <t>EYMEN</t>
        </is>
      </c>
    </row>
    <row r="106">
      <c r="B106" s="25" t="n">
        <v>54310087930</v>
      </c>
      <c r="C106" s="10" t="inlineStr">
        <is>
          <t>EZGİ AYDIN_ PACHO EATERY</t>
        </is>
      </c>
    </row>
    <row r="107">
      <c r="B107" s="25" t="n">
        <v>3851456267</v>
      </c>
      <c r="C107" s="10" t="inlineStr">
        <is>
          <t>FAMAUS GIDA</t>
        </is>
      </c>
    </row>
    <row r="108">
      <c r="B108" s="14" t="inlineStr">
        <is>
          <t>3850838305</t>
        </is>
      </c>
      <c r="C108" s="10" t="inlineStr">
        <is>
          <t>FATKER GIDA</t>
        </is>
      </c>
    </row>
    <row r="109">
      <c r="B109" s="25" t="n">
        <v>3850559840</v>
      </c>
      <c r="C109" s="10" t="inlineStr">
        <is>
          <t>FET RESTORAN İŞLETMELERİ</t>
        </is>
      </c>
    </row>
    <row r="110">
      <c r="B110" s="25" t="n">
        <v>3871427056</v>
      </c>
      <c r="C110" s="10" t="inlineStr">
        <is>
          <t>FİLE MARKETÇİLİK</t>
        </is>
      </c>
    </row>
    <row r="111">
      <c r="B111" s="25" t="n">
        <v>850047586</v>
      </c>
      <c r="C111" s="10" t="inlineStr">
        <is>
          <t>FULYA AKARYAKIT</t>
        </is>
      </c>
    </row>
    <row r="112">
      <c r="B112" s="25" t="n">
        <v>3880078338</v>
      </c>
      <c r="C112" s="10" t="inlineStr">
        <is>
          <t>GALERİ 2000</t>
        </is>
      </c>
    </row>
    <row r="113">
      <c r="B113" s="25" t="n">
        <v>6210467334</v>
      </c>
      <c r="C113" s="10" t="inlineStr">
        <is>
          <t>GNS PETROL</t>
        </is>
      </c>
    </row>
    <row r="114">
      <c r="B114" s="25" t="n">
        <v>3131072196</v>
      </c>
      <c r="C114" s="10" t="inlineStr">
        <is>
          <t>GOU SOCIETY</t>
        </is>
      </c>
    </row>
    <row r="115">
      <c r="B115" s="25" t="n">
        <v>4030018725</v>
      </c>
      <c r="C115" s="10" t="inlineStr">
        <is>
          <t>GÖKKUŞAĞI PETROL</t>
        </is>
      </c>
    </row>
    <row r="116">
      <c r="B116" s="25" t="n">
        <v>4100089376</v>
      </c>
      <c r="C116" s="10" t="inlineStr">
        <is>
          <t xml:space="preserve">GÖRPET PETROL </t>
        </is>
      </c>
    </row>
    <row r="117">
      <c r="B117" s="25" t="n">
        <v>4110356188</v>
      </c>
      <c r="C117" s="10" t="inlineStr">
        <is>
          <t>GRATİS</t>
        </is>
      </c>
    </row>
    <row r="118">
      <c r="B118" s="25" t="n">
        <v>4210187439</v>
      </c>
      <c r="C118" s="10" t="inlineStr">
        <is>
          <t>GÜLPEMBE GIDA</t>
        </is>
      </c>
    </row>
    <row r="119">
      <c r="B119" s="25" t="n">
        <v>4230112287</v>
      </c>
      <c r="C119" s="10" t="inlineStr">
        <is>
          <t>GÜLTEPE PETROL</t>
        </is>
      </c>
    </row>
    <row r="120">
      <c r="B120" s="25" t="n">
        <v>4390034418</v>
      </c>
      <c r="C120" s="10" t="inlineStr">
        <is>
          <t>GÜR PETROL</t>
        </is>
      </c>
    </row>
    <row r="121">
      <c r="B121" s="25" t="n">
        <v>18709930412</v>
      </c>
      <c r="C121" s="10" t="inlineStr">
        <is>
          <t>GÜREL DEMİR HEPSİBURADA</t>
        </is>
      </c>
    </row>
    <row r="122">
      <c r="B122" s="25" t="n">
        <v>8580044395</v>
      </c>
      <c r="C122" s="10" t="inlineStr">
        <is>
          <t>GÜZEL ENERJİ AKARYAKIT</t>
        </is>
      </c>
    </row>
    <row r="123">
      <c r="B123" s="25" t="n">
        <v>4540511083</v>
      </c>
      <c r="C123" s="10" t="inlineStr">
        <is>
          <t>H&amp;M TEKSTİL</t>
        </is>
      </c>
    </row>
    <row r="124">
      <c r="B124" s="25" t="n">
        <v>21346498580</v>
      </c>
      <c r="C124" s="10" t="inlineStr">
        <is>
          <t>HASAN GÜRBEY ÇAĞDAŞ BÖREK</t>
        </is>
      </c>
    </row>
    <row r="125">
      <c r="B125" s="25" t="n">
        <v>22634159664</v>
      </c>
      <c r="C125" s="10" t="inlineStr">
        <is>
          <t>HAVUZ CAFÉ ENES KÜÇÜKÖZDEMİR</t>
        </is>
      </c>
    </row>
    <row r="126">
      <c r="B126" s="25" t="n">
        <v>4610005013</v>
      </c>
      <c r="C126" s="10" t="inlineStr">
        <is>
          <t>HEDEF İTH.İHR.TİC. LTD ŞTİ</t>
        </is>
      </c>
    </row>
    <row r="127">
      <c r="B127" s="25" t="n">
        <v>4610284937</v>
      </c>
      <c r="C127" s="10" t="inlineStr">
        <is>
          <t>HEDEF PETROL</t>
        </is>
      </c>
    </row>
    <row r="128">
      <c r="B128" s="25" t="n">
        <v>2180262004</v>
      </c>
      <c r="C128" s="10" t="inlineStr">
        <is>
          <t>HERO CAFÉ</t>
        </is>
      </c>
    </row>
    <row r="129">
      <c r="B129" s="25" t="n">
        <v>42982864676</v>
      </c>
      <c r="C129" s="10" t="inlineStr">
        <is>
          <t>HIZIR TÜYLÜ TÜYLÜOĞLU</t>
        </is>
      </c>
    </row>
    <row r="130">
      <c r="B130" s="25" t="n">
        <v>4630023167</v>
      </c>
      <c r="C130" s="10" t="inlineStr">
        <is>
          <t>HİZMET PETROL</t>
        </is>
      </c>
    </row>
    <row r="131">
      <c r="B131" s="25" t="n">
        <v>4631491253</v>
      </c>
      <c r="C131" s="10" t="inlineStr">
        <is>
          <t>HOOPS GIDA</t>
        </is>
      </c>
    </row>
    <row r="132">
      <c r="B132" s="25" t="n">
        <v>3680209037</v>
      </c>
      <c r="C132" s="10" t="inlineStr">
        <is>
          <t>IOC INTERNATIONAL 02 CAFE</t>
        </is>
      </c>
    </row>
    <row r="133">
      <c r="B133" s="25" t="n">
        <v>2531501705</v>
      </c>
      <c r="C133" s="10" t="inlineStr">
        <is>
          <t>IRMAK ÇİÇEK</t>
        </is>
      </c>
    </row>
    <row r="134">
      <c r="B134" s="25" t="n">
        <v>9960059923</v>
      </c>
      <c r="C134" s="10" t="inlineStr">
        <is>
          <t>ITX TURKEY</t>
        </is>
      </c>
    </row>
    <row r="135">
      <c r="B135" s="25" t="n">
        <v>12551760456</v>
      </c>
      <c r="C135" s="10" t="inlineStr">
        <is>
          <t>İBRAHİM KARASAVAR TERCÜME</t>
        </is>
      </c>
    </row>
    <row r="136">
      <c r="B136" s="25" t="n">
        <v>4700019571</v>
      </c>
      <c r="C136" s="10" t="inlineStr">
        <is>
          <t>İDO DENİZ OTOBÜSLERİ</t>
        </is>
      </c>
    </row>
    <row r="137">
      <c r="B137" s="25" t="n">
        <v>23627111126</v>
      </c>
      <c r="C137" s="10" t="inlineStr">
        <is>
          <t>İNCİ PASTANESİ</t>
        </is>
      </c>
    </row>
    <row r="138">
      <c r="B138" s="25" t="n">
        <v>4801300350</v>
      </c>
      <c r="C138" s="10" t="inlineStr">
        <is>
          <t>İPSA GIDA</t>
        </is>
      </c>
    </row>
    <row r="139">
      <c r="B139" s="25" t="n">
        <v>43147459546</v>
      </c>
      <c r="C139" s="10" t="inlineStr">
        <is>
          <t xml:space="preserve">İSMAİL İNANÇ </t>
        </is>
      </c>
    </row>
    <row r="140">
      <c r="B140" s="25" t="n">
        <v>5260047973</v>
      </c>
      <c r="C140" s="10" t="inlineStr">
        <is>
          <t>İSPARK</t>
        </is>
      </c>
    </row>
    <row r="141">
      <c r="B141" s="25" t="n">
        <v>4810057864</v>
      </c>
      <c r="C141" s="10" t="inlineStr">
        <is>
          <t>İŞ BANKALILAR DERNEĞİ</t>
        </is>
      </c>
    </row>
    <row r="142">
      <c r="B142" s="25" t="n">
        <v>4810167963</v>
      </c>
      <c r="C142" s="10" t="inlineStr">
        <is>
          <t>İŞ MERKEZLERİ YÖNETİM A.Ş. VENİSE</t>
        </is>
      </c>
    </row>
    <row r="143">
      <c r="B143" s="25" t="n">
        <v>4842109976</v>
      </c>
      <c r="C143" s="10" t="inlineStr">
        <is>
          <t>JYSK EV ÜRÜNLERİ</t>
        </is>
      </c>
    </row>
    <row r="144">
      <c r="B144" s="25" t="n">
        <v>17831269568</v>
      </c>
      <c r="C144" s="10" t="inlineStr">
        <is>
          <t>KADİR GÖNÜŞEN PASCALL İLETİŞİM</t>
        </is>
      </c>
    </row>
    <row r="145">
      <c r="B145" s="25" t="n">
        <v>8590591635</v>
      </c>
      <c r="C145" s="10" t="inlineStr">
        <is>
          <t>KAHVERENGİ TURİSTİK A.Ş.</t>
        </is>
      </c>
    </row>
    <row r="146">
      <c r="B146" s="25" t="n">
        <v>9250871921</v>
      </c>
      <c r="C146" s="10" t="inlineStr">
        <is>
          <t>KAMER PETROL</t>
        </is>
      </c>
    </row>
    <row r="147">
      <c r="B147" s="25" t="n">
        <v>2690615412</v>
      </c>
      <c r="C147" s="10" t="inlineStr">
        <is>
          <t>KANDIRA GIDA</t>
        </is>
      </c>
    </row>
    <row r="148">
      <c r="B148" s="25" t="n">
        <v>8411006716</v>
      </c>
      <c r="C148" s="10" t="inlineStr">
        <is>
          <t>KAPLAN KEBAP TEVFİKOĞLU REST</t>
        </is>
      </c>
    </row>
    <row r="149">
      <c r="B149" s="25" t="n">
        <v>8940310729</v>
      </c>
      <c r="C149" s="10" t="inlineStr">
        <is>
          <t>KARDEŞLER KEBAP</t>
        </is>
      </c>
    </row>
    <row r="150">
      <c r="B150" s="25" t="n">
        <v>5271256392</v>
      </c>
      <c r="C150" s="10" t="inlineStr">
        <is>
          <t>KASNAK GIDA</t>
        </is>
      </c>
    </row>
    <row r="151">
      <c r="B151" s="25" t="n">
        <v>5280069246</v>
      </c>
      <c r="C151" s="10" t="inlineStr">
        <is>
          <t>KAŞIKÇIOĞLU GIDA</t>
        </is>
      </c>
    </row>
    <row r="152">
      <c r="B152" s="25" t="n">
        <v>6470332517</v>
      </c>
      <c r="C152" s="10" t="inlineStr">
        <is>
          <t>KAYSERİ MUTFAĞI</t>
        </is>
      </c>
    </row>
    <row r="153">
      <c r="B153" s="25" t="n">
        <v>5410550929</v>
      </c>
      <c r="C153" s="10" t="inlineStr">
        <is>
          <t>KDR LASTİK OTOMOTİV YEDEK</t>
        </is>
      </c>
    </row>
    <row r="154">
      <c r="B154" s="25" t="inlineStr">
        <is>
          <t>5610251743</t>
        </is>
      </c>
      <c r="C154" s="10" t="inlineStr">
        <is>
          <t>KIZILKAYALAR</t>
        </is>
      </c>
    </row>
    <row r="155">
      <c r="B155" s="25" t="n">
        <v>52966346876</v>
      </c>
      <c r="C155" s="10" t="inlineStr">
        <is>
          <t>KOMİLi AVM</t>
        </is>
      </c>
    </row>
    <row r="156">
      <c r="B156" s="25" t="n">
        <v>4620363837</v>
      </c>
      <c r="C156" s="10" t="inlineStr">
        <is>
          <t>KÖFTECİ RAMİZ</t>
        </is>
      </c>
    </row>
    <row r="157">
      <c r="B157" s="25" t="n">
        <v>550428982</v>
      </c>
      <c r="C157" s="10" t="inlineStr">
        <is>
          <t>KRISPY GIDA</t>
        </is>
      </c>
    </row>
    <row r="158">
      <c r="B158" s="25" t="n">
        <v>589046241</v>
      </c>
      <c r="C158" s="10" t="inlineStr">
        <is>
          <t>KRİSTALKUĞU MAĞAZACILIK</t>
        </is>
      </c>
    </row>
    <row r="159">
      <c r="B159" s="25" t="n">
        <v>1903675434</v>
      </c>
      <c r="C159" s="10" t="inlineStr">
        <is>
          <t>KURTULUŞ PEYNİRCİLİK</t>
        </is>
      </c>
    </row>
    <row r="160">
      <c r="B160" s="25" t="n">
        <v>6060315168</v>
      </c>
      <c r="C160" s="10" t="inlineStr">
        <is>
          <t>KÜRE TURİZM</t>
        </is>
      </c>
    </row>
    <row r="161">
      <c r="B161" s="25" t="n">
        <v>8370071817</v>
      </c>
      <c r="C161" s="10" t="inlineStr">
        <is>
          <t>LC WAİKİKİ</t>
        </is>
      </c>
    </row>
    <row r="162">
      <c r="B162" s="25" t="n">
        <v>7721451746</v>
      </c>
      <c r="C162" s="10" t="inlineStr">
        <is>
          <t>LIQUOR SMOOK CAFE REST</t>
        </is>
      </c>
    </row>
    <row r="163">
      <c r="B163" s="25" t="n">
        <v>6080392296</v>
      </c>
      <c r="C163" s="10" t="inlineStr">
        <is>
          <t>LİDER GIDA TUR</t>
        </is>
      </c>
    </row>
    <row r="164">
      <c r="B164" s="25" t="n">
        <v>6091417262</v>
      </c>
      <c r="C164" s="10" t="inlineStr">
        <is>
          <t>LOC Gıda</t>
        </is>
      </c>
    </row>
    <row r="165">
      <c r="B165" s="25" t="n">
        <v>6891417262</v>
      </c>
      <c r="C165" s="10" t="inlineStr">
        <is>
          <t>LOC GIDA LTD ŞTİ</t>
        </is>
      </c>
    </row>
    <row r="166">
      <c r="B166" s="25" t="n">
        <v>6091419290</v>
      </c>
      <c r="C166" s="10" t="inlineStr">
        <is>
          <t>LUVA</t>
        </is>
      </c>
    </row>
    <row r="167">
      <c r="B167" s="25" t="n">
        <v>9090040742</v>
      </c>
      <c r="C167" s="10" t="inlineStr">
        <is>
          <t>LUVİAN TURİZM</t>
        </is>
      </c>
    </row>
    <row r="168">
      <c r="B168" s="25" t="n">
        <v>6100425363</v>
      </c>
      <c r="C168" s="10" t="inlineStr">
        <is>
          <t>MAÇKA YAYINCILIK</t>
        </is>
      </c>
    </row>
    <row r="169">
      <c r="B169" s="25" t="n">
        <v>6100498272</v>
      </c>
      <c r="C169" s="10" t="inlineStr">
        <is>
          <t>MADALYA SPOR</t>
        </is>
      </c>
    </row>
    <row r="170">
      <c r="B170" s="25" t="n">
        <v>6101246934</v>
      </c>
      <c r="C170" s="10" t="inlineStr">
        <is>
          <t>MAİDA GIDA</t>
        </is>
      </c>
    </row>
    <row r="171">
      <c r="B171" s="25" t="n">
        <v>6120379680</v>
      </c>
      <c r="C171" s="10" t="inlineStr">
        <is>
          <t>MAPA MOBİLYA</t>
        </is>
      </c>
    </row>
    <row r="172">
      <c r="B172" s="25" t="n">
        <v>5770956952</v>
      </c>
      <c r="C172" s="10" t="inlineStr">
        <is>
          <t>MASAL KOKOREÇ</t>
        </is>
      </c>
    </row>
    <row r="173">
      <c r="B173" s="25" t="n">
        <v>7691581075</v>
      </c>
      <c r="C173" s="10" t="inlineStr">
        <is>
          <t>MASLAK ALİ KARADENİZ GIDA</t>
        </is>
      </c>
    </row>
    <row r="174">
      <c r="B174" s="25" t="n">
        <v>6130796282</v>
      </c>
      <c r="C174" s="10" t="inlineStr">
        <is>
          <t xml:space="preserve">MATAŞ MALTEPE </t>
        </is>
      </c>
    </row>
    <row r="175">
      <c r="B175" s="25" t="n">
        <v>34829060518</v>
      </c>
      <c r="C175" s="10" t="inlineStr">
        <is>
          <t>MEHMET EMİN ATAK</t>
        </is>
      </c>
    </row>
    <row r="176">
      <c r="B176" s="25" t="n">
        <v>950014801</v>
      </c>
      <c r="C176" s="10" t="inlineStr">
        <is>
          <t>MEHMET KEMALATAKUL PETROL</t>
        </is>
      </c>
    </row>
    <row r="177">
      <c r="B177" s="25" t="n">
        <v>38263263610</v>
      </c>
      <c r="C177" s="10" t="inlineStr">
        <is>
          <t xml:space="preserve">MEHMET UZUN </t>
        </is>
      </c>
    </row>
    <row r="178">
      <c r="B178" s="25" t="n">
        <v>6280294891</v>
      </c>
      <c r="C178" s="10" t="inlineStr">
        <is>
          <t>MEHMET YAŞAR NALBANT</t>
        </is>
      </c>
    </row>
    <row r="179">
      <c r="B179" s="25" t="n">
        <v>6160396823</v>
      </c>
      <c r="C179" s="10" t="inlineStr">
        <is>
          <t>MERCAN GIDA</t>
        </is>
      </c>
    </row>
    <row r="180">
      <c r="B180" s="25" t="n">
        <v>6170916786</v>
      </c>
      <c r="C180" s="10" t="inlineStr">
        <is>
          <t xml:space="preserve">MERKON EV ALETLERİ ARÇELİK </t>
        </is>
      </c>
    </row>
    <row r="181">
      <c r="B181" s="25" t="n">
        <v>6200031354</v>
      </c>
      <c r="C181" s="10" t="inlineStr">
        <is>
          <t>METROGROSS MARKET</t>
        </is>
      </c>
    </row>
    <row r="182">
      <c r="B182" s="25" t="n">
        <v>6220529513</v>
      </c>
      <c r="C182" s="10" t="inlineStr">
        <is>
          <t>MİGROS TİCARET</t>
        </is>
      </c>
    </row>
    <row r="183">
      <c r="B183" s="25" t="n">
        <v>6080712084</v>
      </c>
      <c r="C183" s="10" t="inlineStr">
        <is>
          <t>MNG KARGO</t>
        </is>
      </c>
    </row>
    <row r="184">
      <c r="B184" s="25" t="n">
        <v>6220473875</v>
      </c>
      <c r="C184" s="10" t="inlineStr">
        <is>
          <t>MNK GIDA  SAN</t>
        </is>
      </c>
    </row>
    <row r="185">
      <c r="B185" s="25" t="n">
        <v>6220639350</v>
      </c>
      <c r="C185" s="10" t="inlineStr">
        <is>
          <t>MOBİLAL OTEL</t>
        </is>
      </c>
    </row>
    <row r="186">
      <c r="B186" s="25" t="n">
        <v>6222400835</v>
      </c>
      <c r="C186" s="10" t="inlineStr">
        <is>
          <t>MODA CAMEO</t>
        </is>
      </c>
    </row>
    <row r="187">
      <c r="B187" s="25" t="n">
        <v>3820400063</v>
      </c>
      <c r="C187" s="10" t="inlineStr">
        <is>
          <t>MOGAF HATAY GIDA</t>
        </is>
      </c>
    </row>
    <row r="188">
      <c r="B188" s="25" t="n">
        <v>6220429602</v>
      </c>
      <c r="C188" s="10" t="inlineStr">
        <is>
          <t>MOPAŞ</t>
        </is>
      </c>
    </row>
    <row r="189">
      <c r="B189" s="25" t="n">
        <v>6220452995</v>
      </c>
      <c r="C189" s="10" t="inlineStr">
        <is>
          <t>MOTOTAL</t>
        </is>
      </c>
    </row>
    <row r="190">
      <c r="B190" s="25" t="n">
        <v>8520457028</v>
      </c>
      <c r="C190" s="10" t="inlineStr">
        <is>
          <t>MUPTELA MYDEK REST</t>
        </is>
      </c>
    </row>
    <row r="191">
      <c r="B191" s="25" t="n">
        <v>18989759512</v>
      </c>
      <c r="C191" s="10" t="inlineStr">
        <is>
          <t>MUZAFFER BÜFE</t>
        </is>
      </c>
    </row>
    <row r="192">
      <c r="B192" s="25" t="n">
        <v>6320723862</v>
      </c>
      <c r="C192" s="10" t="inlineStr">
        <is>
          <t>MZN KİTAPEVİ</t>
        </is>
      </c>
    </row>
    <row r="193">
      <c r="B193" s="25" t="n">
        <v>26383693820</v>
      </c>
      <c r="C193" s="10" t="inlineStr">
        <is>
          <t>NAFIZ MUZAFFER EĞİLMEZ</t>
        </is>
      </c>
    </row>
    <row r="194">
      <c r="B194" s="25" t="n">
        <v>6290551470</v>
      </c>
      <c r="C194" s="10" t="inlineStr">
        <is>
          <t>NANNY GIDA SAN</t>
        </is>
      </c>
    </row>
    <row r="195">
      <c r="B195" s="25" t="n">
        <v>6300386157</v>
      </c>
      <c r="C195" s="10" t="inlineStr">
        <is>
          <t>NATUREL KOZMETİK YVES</t>
        </is>
      </c>
    </row>
    <row r="196">
      <c r="B196" s="25" t="n">
        <v>6300416097</v>
      </c>
      <c r="C196" s="10" t="inlineStr">
        <is>
          <t>NATUREL REST HAPPY MOON</t>
        </is>
      </c>
    </row>
    <row r="197">
      <c r="B197" s="25" t="n">
        <v>6310580830</v>
      </c>
      <c r="C197" s="10" t="inlineStr">
        <is>
          <t>NEZİH KİTAPEVİ</t>
        </is>
      </c>
    </row>
    <row r="198">
      <c r="B198" s="25" t="n">
        <v>29719233264</v>
      </c>
      <c r="C198" s="10" t="inlineStr">
        <is>
          <t>NİHAT BİNGÖL DÖNERBANK</t>
        </is>
      </c>
    </row>
    <row r="199">
      <c r="B199" s="25" t="n">
        <v>46741426778</v>
      </c>
      <c r="C199" s="10" t="inlineStr">
        <is>
          <t>NİHAT MAHMUTOĞLU KARTAL HAVUZ</t>
        </is>
      </c>
    </row>
    <row r="200">
      <c r="B200" s="25" t="n">
        <v>6311044976</v>
      </c>
      <c r="C200" s="10" t="inlineStr">
        <is>
          <t>NMN UNLU MAMULLER</t>
        </is>
      </c>
    </row>
    <row r="201">
      <c r="B201" s="25" t="n">
        <v>6360620915</v>
      </c>
      <c r="C201" s="10" t="inlineStr">
        <is>
          <t>OKANCA GIDA</t>
        </is>
      </c>
    </row>
    <row r="202">
      <c r="B202" s="25" t="n">
        <v>20057208396</v>
      </c>
      <c r="C202" s="10" t="inlineStr">
        <is>
          <t>OLİO BRASSERİE</t>
        </is>
      </c>
    </row>
    <row r="203">
      <c r="B203" s="25" t="n">
        <v>7790321858</v>
      </c>
      <c r="C203" s="10" t="inlineStr">
        <is>
          <t>OLİO BRASSERİE ARDA SÖNMEZGÜL</t>
        </is>
      </c>
    </row>
    <row r="204">
      <c r="B204" s="25" t="n">
        <v>6440703335</v>
      </c>
      <c r="C204" s="10" t="inlineStr">
        <is>
          <t>OPET</t>
        </is>
      </c>
    </row>
    <row r="205">
      <c r="B205" s="25" t="n">
        <v>6440703335</v>
      </c>
      <c r="C205" s="10" t="inlineStr">
        <is>
          <t xml:space="preserve">OPET </t>
        </is>
      </c>
    </row>
    <row r="206">
      <c r="B206" s="25" t="n">
        <v>7540890147</v>
      </c>
      <c r="C206" s="10" t="inlineStr">
        <is>
          <t>OPET SAYDAM PETROL</t>
        </is>
      </c>
    </row>
    <row r="207">
      <c r="B207" s="25" t="n">
        <v>6490487551</v>
      </c>
      <c r="C207" s="10" t="inlineStr">
        <is>
          <t>OTTOMAN PETROL</t>
        </is>
      </c>
    </row>
    <row r="208">
      <c r="B208" s="25" t="n">
        <v>7811119339</v>
      </c>
      <c r="C208" s="10" t="inlineStr">
        <is>
          <t>OVA GIDA</t>
        </is>
      </c>
    </row>
    <row r="209">
      <c r="B209" s="25" t="n">
        <v>6581061253</v>
      </c>
      <c r="C209" s="10" t="inlineStr">
        <is>
          <t>ÖNEM OTO BAKIM</t>
        </is>
      </c>
    </row>
    <row r="210">
      <c r="B210" s="25" t="n">
        <v>6900533888</v>
      </c>
      <c r="C210" s="10" t="inlineStr">
        <is>
          <t>ÖZFIRINCI GIDA DELİ DELİ</t>
        </is>
      </c>
    </row>
    <row r="211">
      <c r="B211" s="25" t="n">
        <v>29605077286</v>
      </c>
      <c r="C211" s="10" t="inlineStr">
        <is>
          <t>ÖZGEN SAAT</t>
        </is>
      </c>
    </row>
    <row r="212">
      <c r="B212" s="25" t="n">
        <v>20335777330</v>
      </c>
      <c r="C212" s="10" t="inlineStr">
        <is>
          <t>ÖZGÜR İLETİŞİM</t>
        </is>
      </c>
    </row>
    <row r="213">
      <c r="B213" s="25" t="n">
        <v>7010338358</v>
      </c>
      <c r="C213" s="10" t="inlineStr">
        <is>
          <t>ÖZKURUŞLAR GIDA</t>
        </is>
      </c>
    </row>
    <row r="214">
      <c r="B214" s="25" t="n">
        <v>10859611876</v>
      </c>
      <c r="C214" s="10" t="inlineStr">
        <is>
          <t>ÖZLÜ PASTANESİ</t>
        </is>
      </c>
    </row>
    <row r="215">
      <c r="B215" s="25" t="n">
        <v>7030085287</v>
      </c>
      <c r="C215" s="10" t="inlineStr">
        <is>
          <t>ÖZMEN SU GIDA</t>
        </is>
      </c>
    </row>
    <row r="216">
      <c r="B216" s="25" t="n">
        <v>52825457750</v>
      </c>
      <c r="C216" s="10" t="inlineStr">
        <is>
          <t>ÖZULUDAĞ YUSUF ACAR</t>
        </is>
      </c>
    </row>
    <row r="217">
      <c r="B217" s="25" t="n">
        <v>7280867631</v>
      </c>
      <c r="C217" s="10" t="inlineStr">
        <is>
          <t>PENGE MAĞAZACILIK FLYING TIGER</t>
        </is>
      </c>
    </row>
    <row r="218">
      <c r="B218" s="25" t="n">
        <v>7290015043</v>
      </c>
      <c r="C218" s="10" t="inlineStr">
        <is>
          <t>PETROL OFİSİ</t>
        </is>
      </c>
    </row>
    <row r="219">
      <c r="B219" s="25" t="n">
        <v>7290068044</v>
      </c>
      <c r="C219" s="10" t="inlineStr">
        <is>
          <t>PIRIL PETROL</t>
        </is>
      </c>
    </row>
    <row r="220">
      <c r="B220" s="25" t="n">
        <v>7291366851</v>
      </c>
      <c r="C220" s="10" t="inlineStr">
        <is>
          <t>PİDE SAMSUN</t>
        </is>
      </c>
    </row>
    <row r="221">
      <c r="B221" s="25" t="n">
        <v>7290534131</v>
      </c>
      <c r="C221" s="10" t="inlineStr">
        <is>
          <t>PİDEM REST</t>
        </is>
      </c>
    </row>
    <row r="222">
      <c r="B222" s="25" t="n">
        <v>7720023795</v>
      </c>
      <c r="C222" s="10" t="inlineStr">
        <is>
          <t>PLUXEE ÇALIŞAN DENEYİMİ DANIŞMANLIK</t>
        </is>
      </c>
    </row>
    <row r="223">
      <c r="B223" s="25" t="n">
        <v>7321527323</v>
      </c>
      <c r="C223" s="10" t="inlineStr">
        <is>
          <t>POLİS TEŞKİLATI GÜÇ VAKF A.Ş.</t>
        </is>
      </c>
    </row>
    <row r="224">
      <c r="B224" s="25" t="n">
        <v>7331078924</v>
      </c>
      <c r="C224" s="10" t="inlineStr">
        <is>
          <t>PROKOPP REST</t>
        </is>
      </c>
    </row>
    <row r="225">
      <c r="B225" s="25" t="n">
        <v>7240904371</v>
      </c>
      <c r="C225" s="10" t="inlineStr">
        <is>
          <t>PUSULA TİC A.Ş.</t>
        </is>
      </c>
    </row>
    <row r="226">
      <c r="B226" s="25" t="n">
        <v>37033662752</v>
      </c>
      <c r="C226" s="10" t="inlineStr">
        <is>
          <t>REFİKA</t>
        </is>
      </c>
    </row>
    <row r="227">
      <c r="B227" s="25" t="n">
        <v>7352220557</v>
      </c>
      <c r="C227" s="10" t="inlineStr">
        <is>
          <t>RIFF COFFEE GIDA</t>
        </is>
      </c>
    </row>
    <row r="228">
      <c r="B228" s="25" t="n">
        <v>54574406218</v>
      </c>
      <c r="C228" s="10" t="inlineStr">
        <is>
          <t>ROJDA ANIK  ANIK ECZANESİ</t>
        </is>
      </c>
    </row>
    <row r="229">
      <c r="B229" s="25" t="n">
        <v>73910558903</v>
      </c>
      <c r="C229" s="10" t="inlineStr">
        <is>
          <t>SAHA MAĞAZACILIK</t>
        </is>
      </c>
    </row>
    <row r="230">
      <c r="B230" s="25" t="n">
        <v>7411217694</v>
      </c>
      <c r="C230" s="10" t="inlineStr">
        <is>
          <t>SALON KALAMIŞ LTD ŞTİ</t>
        </is>
      </c>
    </row>
    <row r="231">
      <c r="B231" s="25" t="n">
        <v>14894007182</v>
      </c>
      <c r="C231" s="10" t="inlineStr">
        <is>
          <t>SANTRAL COFFEE</t>
        </is>
      </c>
    </row>
    <row r="232">
      <c r="B232" s="25" t="n">
        <v>7520895082</v>
      </c>
      <c r="C232" s="10" t="inlineStr">
        <is>
          <t>SATEM GIDA</t>
        </is>
      </c>
    </row>
    <row r="233">
      <c r="B233" s="25" t="n">
        <v>25493111804</v>
      </c>
      <c r="C233" s="10" t="inlineStr">
        <is>
          <t>SERHAT BALIK</t>
        </is>
      </c>
    </row>
    <row r="234">
      <c r="B234" s="25" t="n">
        <v>9640919984</v>
      </c>
      <c r="C234" s="10" t="inlineStr">
        <is>
          <t>SEVDA ECZANESİ</t>
        </is>
      </c>
    </row>
    <row r="235">
      <c r="B235" s="25" t="n">
        <v>7690310116</v>
      </c>
      <c r="C235" s="10" t="inlineStr">
        <is>
          <t>SHAYA KAHVE STARBUCKS</t>
        </is>
      </c>
    </row>
    <row r="236">
      <c r="B236" s="25" t="n">
        <v>3960179876</v>
      </c>
      <c r="C236" s="10" t="inlineStr">
        <is>
          <t>SHAYA MAĞAZACILIK</t>
        </is>
      </c>
    </row>
    <row r="237">
      <c r="B237" s="25" t="n">
        <v>7690007614</v>
      </c>
      <c r="C237" s="10" t="inlineStr">
        <is>
          <t>SHELL</t>
        </is>
      </c>
    </row>
    <row r="238">
      <c r="B238" s="25" t="n">
        <v>7700282587</v>
      </c>
      <c r="C238" s="10" t="inlineStr">
        <is>
          <t>SİAR KAFETERYA</t>
        </is>
      </c>
    </row>
    <row r="239">
      <c r="B239" s="25" t="n">
        <v>7352023536</v>
      </c>
      <c r="C239" s="10" t="inlineStr">
        <is>
          <t>SLİCEGUY RÜZGARIN EVİ CAFE</t>
        </is>
      </c>
    </row>
    <row r="240">
      <c r="B240" s="25" t="n">
        <v>1790614810</v>
      </c>
      <c r="C240" s="10" t="inlineStr">
        <is>
          <t>SMİ BOLDAN 6:45 KAZASKER</t>
        </is>
      </c>
    </row>
    <row r="241">
      <c r="B241" s="25" t="n">
        <v>5110316517</v>
      </c>
      <c r="C241" s="10" t="inlineStr">
        <is>
          <t>SOFRASI GIDA</t>
        </is>
      </c>
    </row>
    <row r="242">
      <c r="B242" s="25" t="n">
        <v>7750230216</v>
      </c>
      <c r="C242" s="10" t="inlineStr">
        <is>
          <t>SOSA GIDA</t>
        </is>
      </c>
    </row>
    <row r="243">
      <c r="B243" s="25" t="n">
        <v>1750331214</v>
      </c>
      <c r="C243" s="10" t="inlineStr">
        <is>
          <t>SÜPERONLİNE İLETİŞİM</t>
        </is>
      </c>
    </row>
    <row r="244">
      <c r="B244" s="25" t="n">
        <v>9811413628</v>
      </c>
      <c r="C244" s="10" t="inlineStr">
        <is>
          <t>SÜTÇÜOĞULLARI</t>
        </is>
      </c>
    </row>
    <row r="245">
      <c r="B245" s="25" t="n">
        <v>8050074897</v>
      </c>
      <c r="C245" s="10" t="inlineStr">
        <is>
          <t>ŞENER TEKSTİL</t>
        </is>
      </c>
    </row>
    <row r="246">
      <c r="B246" s="25" t="n">
        <v>54808456156</v>
      </c>
      <c r="C246" s="10" t="inlineStr">
        <is>
          <t>ŞEYMA CEYLAN HÜNER EV ÜRÜNLERİ</t>
        </is>
      </c>
    </row>
    <row r="247">
      <c r="B247" s="25" t="n">
        <v>8140131899</v>
      </c>
      <c r="C247" s="10" t="inlineStr">
        <is>
          <t>ŞOK MARKET</t>
        </is>
      </c>
    </row>
    <row r="248">
      <c r="B248" s="25" t="n">
        <v>8591404751</v>
      </c>
      <c r="C248" s="10" t="inlineStr">
        <is>
          <t>TAŞKIŞLA OTOPARKI</t>
        </is>
      </c>
    </row>
    <row r="249">
      <c r="B249" s="25" t="n">
        <v>8330424403</v>
      </c>
      <c r="C249" s="10" t="inlineStr">
        <is>
          <t>TCHİBO KAHVE</t>
        </is>
      </c>
    </row>
    <row r="250">
      <c r="B250" s="25" t="n">
        <v>8360144393</v>
      </c>
      <c r="C250" s="10" t="inlineStr">
        <is>
          <t>TEKNOSA</t>
        </is>
      </c>
    </row>
    <row r="251">
      <c r="B251" s="25" t="n">
        <v>7300364343</v>
      </c>
      <c r="C251" s="10" t="inlineStr">
        <is>
          <t>TERRA PİZZA</t>
        </is>
      </c>
    </row>
    <row r="252">
      <c r="B252" s="25" t="n">
        <v>8400052427</v>
      </c>
      <c r="C252" s="10" t="inlineStr">
        <is>
          <t>TEŞVİKİYE SARAY GIDA</t>
        </is>
      </c>
    </row>
    <row r="253">
      <c r="B253" s="25" t="n">
        <v>1430021186</v>
      </c>
      <c r="C253" s="10" t="inlineStr">
        <is>
          <t>Thales Cafe</t>
        </is>
      </c>
    </row>
    <row r="254">
      <c r="B254" s="25" t="n">
        <v>3370734910</v>
      </c>
      <c r="C254" s="10" t="inlineStr">
        <is>
          <t>TİMS CAFE A.Ş. ASUMAN CADDEBOSTAN</t>
        </is>
      </c>
    </row>
    <row r="255">
      <c r="B255" s="25" t="n">
        <v>8331085752</v>
      </c>
      <c r="C255" s="10" t="inlineStr">
        <is>
          <t>TMD GIDA TURZ</t>
        </is>
      </c>
    </row>
    <row r="256">
      <c r="B256" s="25" t="n">
        <v>8590235575</v>
      </c>
      <c r="C256" s="10" t="inlineStr">
        <is>
          <t>TOYPA</t>
        </is>
      </c>
    </row>
    <row r="257">
      <c r="B257" s="25" t="inlineStr">
        <is>
          <t xml:space="preserve"> 8591505606</t>
        </is>
      </c>
      <c r="C257" s="10" t="inlineStr">
        <is>
          <t>TRAVELCORP TURİZM SEYAHAT</t>
        </is>
      </c>
    </row>
    <row r="258">
      <c r="B258" s="25" t="n">
        <v>8590602992</v>
      </c>
      <c r="C258" s="10" t="inlineStr">
        <is>
          <t>TRİPENİA TURNA SEYAHAT</t>
        </is>
      </c>
    </row>
    <row r="259">
      <c r="B259" s="25" t="n">
        <v>8590380323</v>
      </c>
      <c r="C259" s="10" t="inlineStr">
        <is>
          <t>TT MOBİL TÜRK TELEKOM</t>
        </is>
      </c>
    </row>
    <row r="260">
      <c r="B260" s="25" t="n">
        <v>2040296346</v>
      </c>
      <c r="C260" s="10" t="inlineStr">
        <is>
          <t>TUNA SAHİL OTOPARK</t>
        </is>
      </c>
    </row>
    <row r="261">
      <c r="B261" s="25" t="n">
        <v>8770013406</v>
      </c>
      <c r="C261" s="10" t="inlineStr">
        <is>
          <t>TURKCELL</t>
        </is>
      </c>
    </row>
    <row r="262">
      <c r="B262" s="25" t="n">
        <v>8721534795</v>
      </c>
      <c r="C262" s="10" t="inlineStr">
        <is>
          <t>TUVAK GIDA</t>
        </is>
      </c>
    </row>
    <row r="263">
      <c r="B263" s="25" t="n">
        <v>34861041704</v>
      </c>
      <c r="C263" s="10" t="inlineStr">
        <is>
          <t>TÜLAY ÇOMAK HASEL</t>
        </is>
      </c>
    </row>
    <row r="264">
      <c r="B264" s="25" t="n">
        <v>8810277422</v>
      </c>
      <c r="C264" s="10" t="inlineStr">
        <is>
          <t>TÜRMEKS GIDA</t>
        </is>
      </c>
    </row>
    <row r="265">
      <c r="B265" s="25" t="n">
        <v>8820314931</v>
      </c>
      <c r="C265" s="10" t="inlineStr">
        <is>
          <t>TÜVTÜRK</t>
        </is>
      </c>
    </row>
    <row r="266">
      <c r="B266" s="25" t="n">
        <v>24682735906</v>
      </c>
      <c r="C266" s="10" t="inlineStr">
        <is>
          <t>TÜYLÜOĞLU GIDA</t>
        </is>
      </c>
    </row>
    <row r="267">
      <c r="B267" s="25" t="n">
        <v>4160391767</v>
      </c>
      <c r="C267" s="10" t="inlineStr">
        <is>
          <t>UMUR GÜLEÇ GÜLEÇ ECZANESİ</t>
        </is>
      </c>
    </row>
    <row r="268">
      <c r="B268" s="25" t="n">
        <v>8920297557</v>
      </c>
      <c r="C268" s="10" t="inlineStr">
        <is>
          <t>UNİMED</t>
        </is>
      </c>
    </row>
    <row r="269">
      <c r="B269" s="25" t="n">
        <v>8940380270</v>
      </c>
      <c r="C269" s="10" t="inlineStr">
        <is>
          <t>URVE GIDA RAMİZ</t>
        </is>
      </c>
    </row>
    <row r="270">
      <c r="B270" s="25" t="n">
        <v>4240277356</v>
      </c>
      <c r="C270" s="10" t="inlineStr">
        <is>
          <t xml:space="preserve">ÜLVER TEYZE </t>
        </is>
      </c>
    </row>
    <row r="271">
      <c r="B271" s="25" t="n">
        <v>16864984196</v>
      </c>
      <c r="C271" s="10" t="inlineStr">
        <is>
          <t>ÜSKÜDAR BALIKÇISI</t>
        </is>
      </c>
    </row>
    <row r="272">
      <c r="B272" s="25" t="n">
        <v>7210444858</v>
      </c>
      <c r="C272" s="10" t="inlineStr">
        <is>
          <t>ÜVEZ OTOMOTİV</t>
        </is>
      </c>
    </row>
    <row r="273">
      <c r="B273" s="25" t="n">
        <v>790318782</v>
      </c>
      <c r="C273" s="10" t="inlineStr">
        <is>
          <t>VADİM PETROL</t>
        </is>
      </c>
    </row>
    <row r="274">
      <c r="B274" s="25" t="n">
        <v>9240871606</v>
      </c>
      <c r="C274" s="10" t="inlineStr">
        <is>
          <t>VENDAS HEPSİBURADA</t>
        </is>
      </c>
    </row>
    <row r="275">
      <c r="B275" s="25" t="n">
        <v>8430737419</v>
      </c>
      <c r="C275" s="10" t="inlineStr">
        <is>
          <t>VERTICAL GIDA</t>
        </is>
      </c>
    </row>
    <row r="276">
      <c r="B276" s="25" t="n">
        <v>9250939537</v>
      </c>
      <c r="C276" s="10" t="inlineStr">
        <is>
          <t>VİYANA KAHVESİ</t>
        </is>
      </c>
    </row>
    <row r="277">
      <c r="B277" s="25" t="n">
        <v>9250459191</v>
      </c>
      <c r="C277" s="10" t="inlineStr">
        <is>
          <t>VİZYON İSTANBUL GIDA</t>
        </is>
      </c>
    </row>
    <row r="278">
      <c r="B278" s="25" t="n">
        <v>9250353261</v>
      </c>
      <c r="C278" s="10" t="inlineStr">
        <is>
          <t>VODAFONE</t>
        </is>
      </c>
    </row>
    <row r="279">
      <c r="B279" s="25" t="n">
        <v>9250525365</v>
      </c>
      <c r="C279" s="10" t="inlineStr">
        <is>
          <t>VSY GRUP</t>
        </is>
      </c>
    </row>
    <row r="280">
      <c r="B280" s="25" t="n">
        <v>2120370364</v>
      </c>
      <c r="C280" s="10" t="inlineStr">
        <is>
          <t>WATSONS</t>
        </is>
      </c>
    </row>
    <row r="281">
      <c r="B281" s="25" t="n">
        <v>8150866737</v>
      </c>
      <c r="C281" s="10" t="inlineStr">
        <is>
          <t>WUNDER</t>
        </is>
      </c>
    </row>
    <row r="282">
      <c r="B282" s="25" t="n">
        <v>9380492010</v>
      </c>
      <c r="C282" s="10" t="inlineStr">
        <is>
          <t>YASA GIDA LTD. ŞTİ</t>
        </is>
      </c>
    </row>
    <row r="283">
      <c r="B283" s="25" t="n">
        <v>9460236186</v>
      </c>
      <c r="C283" s="10" t="inlineStr">
        <is>
          <t>YCC GIDA SAFRANBOLU</t>
        </is>
      </c>
    </row>
    <row r="284">
      <c r="B284" s="25" t="n">
        <v>9460546103</v>
      </c>
      <c r="C284" s="10" t="inlineStr">
        <is>
          <t>YEDİDE YEDİ TUR YAT AŞ</t>
        </is>
      </c>
    </row>
    <row r="285">
      <c r="B285" s="25" t="n">
        <v>9460545537</v>
      </c>
      <c r="C285" s="10" t="inlineStr">
        <is>
          <t xml:space="preserve">YEDİTEPE REST. </t>
        </is>
      </c>
    </row>
    <row r="286">
      <c r="B286" s="25" t="n">
        <v>9830876327</v>
      </c>
      <c r="C286" s="10" t="inlineStr">
        <is>
          <t>YFT GIDA HARMAN</t>
        </is>
      </c>
    </row>
    <row r="287">
      <c r="B287" s="25" t="n">
        <v>9530811700</v>
      </c>
      <c r="C287" s="10" t="inlineStr">
        <is>
          <t xml:space="preserve">YG ELEKTRONİK </t>
        </is>
      </c>
    </row>
    <row r="288">
      <c r="B288" s="25" t="n">
        <v>9530920022</v>
      </c>
      <c r="C288" s="10" t="inlineStr">
        <is>
          <t>YILBAR TURİZM GIDA</t>
        </is>
      </c>
    </row>
    <row r="289">
      <c r="B289" s="25" t="n">
        <v>8230583851</v>
      </c>
      <c r="C289" s="10" t="inlineStr">
        <is>
          <t>YUFKA MANTI ÖZGE TAPKİ</t>
        </is>
      </c>
    </row>
    <row r="290">
      <c r="B290" s="25" t="n">
        <v>9961467609</v>
      </c>
      <c r="C290" s="10" t="inlineStr">
        <is>
          <t>ZANGARİA GIDA</t>
        </is>
      </c>
    </row>
    <row r="291">
      <c r="B291" s="25" t="n">
        <v>7690004356</v>
      </c>
      <c r="C291" s="10" t="inlineStr">
        <is>
          <t>ZERAS GIDA</t>
        </is>
      </c>
    </row>
    <row r="292">
      <c r="B292" s="25" t="n">
        <v>9990495959</v>
      </c>
      <c r="C292" s="10" t="inlineStr">
        <is>
          <t>ZORLU TESİS OTOPARK</t>
        </is>
      </c>
    </row>
    <row r="293">
      <c r="B293" s="25" t="n">
        <v>94808227971</v>
      </c>
      <c r="C293" s="10" t="inlineStr">
        <is>
          <t xml:space="preserve">DÖNERCİ ALİ </t>
        </is>
      </c>
    </row>
    <row r="294">
      <c r="B294" s="25" t="n">
        <v>43483979210</v>
      </c>
      <c r="C294" s="10" t="inlineStr">
        <is>
          <t>NECATİ ÇINAR</t>
        </is>
      </c>
    </row>
    <row r="295">
      <c r="B295" s="25" t="n">
        <v>67135019260</v>
      </c>
      <c r="C295" s="10" t="inlineStr">
        <is>
          <t>MİS MUTFAK SİNEM ŞAHİN</t>
        </is>
      </c>
    </row>
    <row r="296">
      <c r="B296" s="25" t="n">
        <v>4841954457</v>
      </c>
      <c r="C296" s="10" t="inlineStr">
        <is>
          <t>JUSTE GIDA</t>
        </is>
      </c>
    </row>
    <row r="297">
      <c r="B297" s="25" t="n">
        <v>19667604100</v>
      </c>
      <c r="C297" s="10" t="inlineStr">
        <is>
          <t>NİDO RUKİYE TUNCER</t>
        </is>
      </c>
    </row>
    <row r="298">
      <c r="B298" s="25" t="n">
        <v>5270312175</v>
      </c>
      <c r="C298" s="10" t="inlineStr">
        <is>
          <t xml:space="preserve">KASDAŞ </t>
        </is>
      </c>
    </row>
    <row r="299">
      <c r="B299" s="25" t="n">
        <v>7820708959</v>
      </c>
      <c r="C299" s="10" t="inlineStr">
        <is>
          <t>SULTANAHMET KÖFTECİSİ</t>
        </is>
      </c>
    </row>
    <row r="300">
      <c r="B300" s="25" t="n">
        <v>21521198144</v>
      </c>
      <c r="C300" s="20" t="inlineStr">
        <is>
          <t>+1 FERYAL KORKMAZ</t>
        </is>
      </c>
    </row>
    <row r="301">
      <c r="B301" s="25" t="n">
        <v>7701071174</v>
      </c>
      <c r="C301" s="10" t="inlineStr">
        <is>
          <t xml:space="preserve">SİDAR GRUP GIDA </t>
        </is>
      </c>
    </row>
    <row r="302">
      <c r="B302" s="25" t="n">
        <v>6481293900</v>
      </c>
      <c r="C302" s="10" t="inlineStr">
        <is>
          <t>ALTI ÜSTÜ KÖFTE</t>
        </is>
      </c>
    </row>
    <row r="303">
      <c r="B303" s="25" t="n">
        <v>60451324162</v>
      </c>
      <c r="C303" s="10" t="inlineStr">
        <is>
          <t>PASTA İNCANTO HARUN DEĞİRMENCİ</t>
        </is>
      </c>
    </row>
    <row r="304">
      <c r="B304" s="25" t="n">
        <v>1670009422</v>
      </c>
      <c r="C304" s="10" t="inlineStr">
        <is>
          <t>BETA GIDA SAN</t>
        </is>
      </c>
    </row>
    <row r="305">
      <c r="B305" s="25" t="n">
        <v>9500191607</v>
      </c>
      <c r="C305" s="10" t="inlineStr">
        <is>
          <t>BEYKOZ BALIK SEVİNÇ TABAK</t>
        </is>
      </c>
    </row>
    <row r="306">
      <c r="B306" s="25" t="n">
        <v>8710509214</v>
      </c>
      <c r="C306" s="10" t="inlineStr">
        <is>
          <t>TURKSPORT</t>
        </is>
      </c>
    </row>
    <row r="307">
      <c r="B307" s="25" t="n">
        <v>17981304126</v>
      </c>
      <c r="C307" s="10" t="inlineStr">
        <is>
          <t>SELCAN ÖĞREDİK</t>
        </is>
      </c>
    </row>
  </sheetData>
  <autoFilter ref="B21:C105">
    <sortState ref="B22:C292">
      <sortCondition ref="C21:C105"/>
    </sortState>
  </autoFilter>
  <dataValidations disablePrompts="1" count="1">
    <dataValidation sqref="I21" showDropDown="0" showInputMessage="1" showErrorMessage="1" allowBlank="0" type="list">
      <formula1>$B$5:$B$16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K38"/>
  <sheetViews>
    <sheetView showZeros="0" tabSelected="1" zoomScale="70" zoomScaleNormal="70" workbookViewId="0">
      <pane ySplit="3" topLeftCell="A7" activePane="bottomLeft" state="frozen"/>
      <selection pane="bottomLeft" activeCell="L29" sqref="L29"/>
    </sheetView>
  </sheetViews>
  <sheetFormatPr baseColWidth="8" defaultColWidth="8.90625" defaultRowHeight="14.5"/>
  <cols>
    <col width="11.54296875" customWidth="1" style="10" min="1" max="1"/>
    <col width="20.08984375" customWidth="1" style="10" min="2" max="2"/>
    <col width="21.08984375" customWidth="1" style="25" min="3" max="3"/>
    <col width="35.453125" customWidth="1" style="25" min="4" max="4"/>
    <col width="41.453125" bestFit="1" customWidth="1" style="10" min="5" max="5"/>
    <col width="17.54296875" customWidth="1" style="25" min="6" max="6"/>
    <col width="17.54296875" customWidth="1" style="10" min="7" max="7"/>
    <col width="16.08984375" customWidth="1" style="10" min="8" max="8"/>
    <col width="25.90625" customWidth="1" style="10" min="9" max="9"/>
    <col width="17.08984375" customWidth="1" style="10" min="10" max="10"/>
    <col width="14.54296875" customWidth="1" style="10" min="11" max="12"/>
    <col width="17.36328125" customWidth="1" style="10" min="13" max="13"/>
    <col width="12.6328125" customWidth="1" style="10" min="14" max="14"/>
    <col width="17.36328125" customWidth="1" style="10" min="15" max="15"/>
    <col width="12.36328125" customWidth="1" style="10" min="16" max="16"/>
    <col width="13.54296875" bestFit="1" customWidth="1" style="10" min="17" max="17"/>
    <col width="17.36328125" customWidth="1" style="10" min="18" max="18"/>
    <col width="12.36328125" customWidth="1" style="10" min="19" max="20"/>
    <col width="12.6328125" customWidth="1" style="10" min="21" max="21"/>
    <col width="14.54296875" customWidth="1" style="10" min="22" max="22"/>
    <col width="17.36328125" customWidth="1" style="10" min="23" max="23"/>
    <col width="12.36328125" customWidth="1" style="10" min="24" max="24"/>
    <col width="12.6328125" customWidth="1" style="10" min="25" max="25"/>
    <col width="14.54296875" customWidth="1" style="10" min="26" max="26"/>
    <col width="17.36328125" customWidth="1" style="10" min="27" max="27"/>
    <col width="12.36328125" customWidth="1" style="10" min="28" max="28"/>
    <col width="12.6328125" customWidth="1" style="10" min="29" max="29"/>
    <col width="14.54296875" customWidth="1" style="10" min="30" max="30"/>
    <col width="17.36328125" customWidth="1" style="10" min="31" max="31"/>
    <col width="12.36328125" customWidth="1" style="10" min="32" max="32"/>
    <col width="12.6328125" customWidth="1" style="10" min="33" max="33"/>
    <col width="14.54296875" customWidth="1" style="10" min="34" max="34"/>
    <col width="12.36328125" customWidth="1" style="10" min="35" max="35"/>
    <col width="12.6328125" customWidth="1" style="10" min="36" max="36"/>
    <col width="14.54296875" customWidth="1" style="10" min="37" max="37"/>
    <col width="12.36328125" customWidth="1" style="10" min="38" max="38"/>
    <col width="12.6328125" customWidth="1" style="10" min="39" max="39"/>
    <col width="14.54296875" customWidth="1" style="10" min="40" max="40"/>
    <col width="12.36328125" customWidth="1" style="10" min="41" max="41"/>
    <col width="12.6328125" customWidth="1" style="10" min="42" max="42"/>
    <col width="14.54296875" customWidth="1" style="10" min="43" max="43"/>
    <col width="12.36328125" customWidth="1" style="10" min="44" max="44"/>
    <col width="12.6328125" customWidth="1" style="10" min="45" max="45"/>
    <col width="14.54296875" customWidth="1" style="10" min="46" max="46"/>
    <col width="17.36328125" customWidth="1" style="10" min="47" max="47"/>
    <col width="12.36328125" customWidth="1" style="10" min="48" max="48"/>
    <col width="12.6328125" customWidth="1" style="10" min="49" max="49"/>
    <col width="14.54296875" customWidth="1" style="10" min="50" max="50"/>
    <col width="17.36328125" customWidth="1" style="10" min="51" max="51"/>
    <col width="12.36328125" customWidth="1" style="10" min="52" max="52"/>
    <col width="12.6328125" customWidth="1" style="10" min="53" max="53"/>
    <col width="14.54296875" customWidth="1" style="10" min="54" max="54"/>
    <col width="17.36328125" customWidth="1" style="10" min="55" max="55"/>
    <col width="21.6328125" customWidth="1" style="10" min="56" max="56"/>
    <col width="19.453125" customWidth="1" style="10" min="57" max="57"/>
    <col width="21.36328125" customWidth="1" style="10" min="58" max="58"/>
    <col width="8.90625" customWidth="1" style="10" min="59" max="16384"/>
  </cols>
  <sheetData>
    <row r="1">
      <c r="A1" s="10" t="inlineStr">
        <is>
          <t>FİRMA ADI-SOYADI / ÜNVANI :</t>
        </is>
      </c>
      <c r="D1" s="25" t="inlineStr">
        <is>
          <t>ÖZDEMİR TUFAN</t>
        </is>
      </c>
      <c r="E1" s="10" t="n">
        <v>11006519014</v>
      </c>
      <c r="M1" s="10">
        <f>1/100</f>
        <v/>
      </c>
      <c r="N1" s="10">
        <f>10/100</f>
        <v/>
      </c>
      <c r="O1" s="10">
        <f>20/100</f>
        <v/>
      </c>
    </row>
    <row r="2">
      <c r="A2" s="10" t="inlineStr">
        <is>
          <t>Evrak Sayfa Numarası/Dönemi  :</t>
        </is>
      </c>
      <c r="D2" s="25" t="inlineStr">
        <is>
          <t>1- 2026/08</t>
        </is>
      </c>
      <c r="J2" s="13" t="n"/>
    </row>
    <row r="3">
      <c r="A3" s="18" t="inlineStr">
        <is>
          <t>Açıklama</t>
        </is>
      </c>
      <c r="B3" s="18" t="inlineStr">
        <is>
          <t>TARİH</t>
        </is>
      </c>
      <c r="C3" s="18" t="inlineStr">
        <is>
          <t xml:space="preserve">FİŞ NO </t>
        </is>
      </c>
      <c r="D3" s="19" t="inlineStr">
        <is>
          <t>VKN</t>
        </is>
      </c>
      <c r="E3" s="18" t="inlineStr">
        <is>
          <t>SATICI ADI SOYADI</t>
        </is>
      </c>
      <c r="F3" s="18" t="inlineStr">
        <is>
          <t xml:space="preserve">GİDER TÜRÜ-NEVİ </t>
        </is>
      </c>
      <c r="G3" s="18" t="inlineStr">
        <is>
          <t>TOPLAM %0</t>
        </is>
      </c>
      <c r="H3" s="18" t="inlineStr">
        <is>
          <t>TOPLAM %1</t>
        </is>
      </c>
      <c r="I3" s="18" t="inlineStr">
        <is>
          <t>TOPLAM %10</t>
        </is>
      </c>
      <c r="J3" s="18" t="inlineStr">
        <is>
          <t>TOPLAM %20</t>
        </is>
      </c>
      <c r="K3" s="18" t="inlineStr">
        <is>
          <t>MATRAH</t>
        </is>
      </c>
      <c r="L3" s="18" t="inlineStr">
        <is>
          <t>KDV %0</t>
        </is>
      </c>
      <c r="M3" s="18" t="inlineStr">
        <is>
          <t>KDV %1</t>
        </is>
      </c>
      <c r="N3" s="18" t="inlineStr">
        <is>
          <t>KDV %10</t>
        </is>
      </c>
      <c r="O3" s="18" t="inlineStr">
        <is>
          <t>KDV %20</t>
        </is>
      </c>
      <c r="P3" s="18" t="inlineStr">
        <is>
          <t>KDV TOPLAM</t>
        </is>
      </c>
      <c r="Q3" s="11" t="inlineStr">
        <is>
          <t>TOPLAM</t>
        </is>
      </c>
    </row>
    <row r="4">
      <c r="B4" s="15" t="n"/>
      <c r="C4" s="14" t="n"/>
      <c r="E4" s="10" t="n"/>
      <c r="F4" s="25" t="n"/>
      <c r="G4" s="13" t="n"/>
      <c r="H4" s="13" t="n"/>
      <c r="I4" s="13" t="n"/>
      <c r="J4" s="13" t="n"/>
      <c r="K4" s="13">
        <f>SUM(G4:J4)-SUM(L4:O4)</f>
        <v/>
      </c>
      <c r="L4" s="13" t="n"/>
      <c r="M4" s="13">
        <f>H4/101</f>
        <v/>
      </c>
      <c r="N4" s="13">
        <f>I4/11</f>
        <v/>
      </c>
      <c r="O4" s="13">
        <f>J4/6</f>
        <v/>
      </c>
      <c r="P4" s="13">
        <f>SUM(L4:O4)</f>
        <v/>
      </c>
      <c r="Q4" s="13">
        <f>SUM(G4:J4)</f>
        <v/>
      </c>
      <c r="R4" s="5" t="n"/>
      <c r="S4" s="5" t="n"/>
      <c r="T4" s="4" t="n"/>
    </row>
    <row r="5">
      <c r="A5" s="16" t="n"/>
      <c r="B5" s="15" t="n"/>
      <c r="C5" s="14" t="n"/>
      <c r="D5" s="25" t="n"/>
      <c r="E5" s="10" t="n"/>
      <c r="F5" s="25" t="n"/>
      <c r="H5" s="13" t="n"/>
      <c r="I5" s="13" t="n"/>
      <c r="J5" s="13" t="n"/>
      <c r="K5" s="13">
        <f>SUM(G5:J5)-SUM(L5:O5)</f>
        <v/>
      </c>
      <c r="L5" s="13" t="n"/>
      <c r="M5" s="13">
        <f>H5/101</f>
        <v/>
      </c>
      <c r="N5" s="13">
        <f>I5/11</f>
        <v/>
      </c>
      <c r="O5" s="13">
        <f>J5/6</f>
        <v/>
      </c>
      <c r="P5" s="13">
        <f>SUM(L5:O5)</f>
        <v/>
      </c>
      <c r="Q5" s="13">
        <f>SUM(G5:J5)</f>
        <v/>
      </c>
      <c r="R5" s="5" t="n"/>
      <c r="S5" s="5" t="n"/>
      <c r="T5" s="4" t="n"/>
    </row>
    <row r="6">
      <c r="A6" s="16" t="n"/>
      <c r="B6" s="15" t="n"/>
      <c r="C6" s="14" t="n"/>
      <c r="D6" s="25" t="n"/>
      <c r="E6" s="10" t="n"/>
      <c r="F6" s="25" t="n"/>
      <c r="G6" s="13" t="n"/>
      <c r="H6" s="13" t="n"/>
      <c r="I6" s="13" t="n"/>
      <c r="J6" s="13" t="n"/>
      <c r="K6" s="13">
        <f>SUM(G6:J6)-SUM(L6:O6)</f>
        <v/>
      </c>
      <c r="L6" s="13" t="n"/>
      <c r="M6" s="13">
        <f>H6/101</f>
        <v/>
      </c>
      <c r="N6" s="13">
        <f>I6/11</f>
        <v/>
      </c>
      <c r="O6" s="13">
        <f>J6/6</f>
        <v/>
      </c>
      <c r="P6" s="13">
        <f>SUM(L6:O6)</f>
        <v/>
      </c>
      <c r="Q6" s="13">
        <f>SUM(G6:J6)</f>
        <v/>
      </c>
      <c r="R6" s="5" t="n"/>
      <c r="S6" s="5" t="n"/>
      <c r="T6" s="4" t="n"/>
    </row>
    <row r="7">
      <c r="A7" s="16" t="n"/>
      <c r="B7" s="15" t="n"/>
      <c r="C7" s="25" t="n"/>
      <c r="D7" s="25" t="n"/>
      <c r="E7" s="10" t="n"/>
      <c r="F7" s="25" t="n"/>
      <c r="G7" s="13" t="n"/>
      <c r="H7" s="13" t="n"/>
      <c r="I7" s="13" t="n"/>
      <c r="J7" s="13" t="n"/>
      <c r="K7" s="13">
        <f>SUM(G7:J7)-SUM(L7:O7)</f>
        <v/>
      </c>
      <c r="L7" s="13" t="n"/>
      <c r="M7" s="13">
        <f>H7/101</f>
        <v/>
      </c>
      <c r="N7" s="13">
        <f>I7/11</f>
        <v/>
      </c>
      <c r="O7" s="13">
        <f>J7/6</f>
        <v/>
      </c>
      <c r="P7" s="13">
        <f>SUM(L7:O7)</f>
        <v/>
      </c>
      <c r="Q7" s="13">
        <f>SUM(G7:J7)</f>
        <v/>
      </c>
      <c r="R7" s="5" t="n"/>
      <c r="S7" s="5" t="n"/>
      <c r="T7" s="4" t="n"/>
    </row>
    <row r="8">
      <c r="A8" s="16" t="n"/>
      <c r="B8" s="15" t="n"/>
      <c r="C8" s="14" t="n"/>
      <c r="D8" s="25" t="n"/>
      <c r="E8" s="10" t="n"/>
      <c r="F8" s="25" t="n"/>
      <c r="G8" s="13" t="n"/>
      <c r="H8" s="13" t="n"/>
      <c r="I8" s="13" t="n"/>
      <c r="J8" s="13" t="n"/>
      <c r="K8" s="13">
        <f>SUM(G8:J8)-SUM(L8:O8)</f>
        <v/>
      </c>
      <c r="L8" s="13" t="n"/>
      <c r="M8" s="13">
        <f>H8/101</f>
        <v/>
      </c>
      <c r="N8" s="13">
        <f>I8/11</f>
        <v/>
      </c>
      <c r="O8" s="13">
        <f>J8/6</f>
        <v/>
      </c>
      <c r="P8" s="13">
        <f>SUM(L8:O8)</f>
        <v/>
      </c>
      <c r="Q8" s="13">
        <f>SUM(G8:J8)</f>
        <v/>
      </c>
      <c r="R8" s="5" t="n"/>
      <c r="S8" s="5" t="n"/>
      <c r="T8" s="4" t="n"/>
    </row>
    <row r="9">
      <c r="B9" s="15" t="n"/>
      <c r="C9" s="14" t="n"/>
      <c r="D9" s="25" t="n"/>
      <c r="E9" s="10" t="n"/>
      <c r="F9" s="25" t="n"/>
      <c r="G9" s="13" t="n"/>
      <c r="H9" s="13" t="n"/>
      <c r="I9" s="13" t="n"/>
      <c r="J9" s="13" t="n"/>
      <c r="K9" s="13">
        <f>SUM(G9:J9)-SUM(L9:O9)</f>
        <v/>
      </c>
      <c r="L9" s="13" t="n"/>
      <c r="M9" s="13">
        <f>H9/101</f>
        <v/>
      </c>
      <c r="N9" s="13">
        <f>I9/11</f>
        <v/>
      </c>
      <c r="O9" s="13">
        <f>J9/6</f>
        <v/>
      </c>
      <c r="P9" s="13">
        <f>SUM(L9:O9)</f>
        <v/>
      </c>
      <c r="Q9" s="13">
        <f>SUM(G9:J9)</f>
        <v/>
      </c>
      <c r="R9" s="5" t="n"/>
      <c r="S9" s="5" t="n"/>
      <c r="T9" s="4" t="n"/>
    </row>
    <row r="10">
      <c r="A10" s="16" t="n"/>
      <c r="B10" s="15" t="n"/>
      <c r="C10" s="14" t="n"/>
      <c r="D10" s="25" t="n"/>
      <c r="E10" s="10" t="n"/>
      <c r="F10" s="25" t="n"/>
      <c r="G10" s="13" t="n"/>
      <c r="H10" s="13" t="n"/>
      <c r="I10" s="13" t="n"/>
      <c r="J10" s="13" t="n"/>
      <c r="K10" s="13">
        <f>SUM(G10:J10)-SUM(L10:O10)</f>
        <v/>
      </c>
      <c r="L10" s="13" t="n"/>
      <c r="M10" s="13">
        <f>H10/101</f>
        <v/>
      </c>
      <c r="N10" s="13">
        <f>I10/11</f>
        <v/>
      </c>
      <c r="O10" s="13">
        <f>J10/6</f>
        <v/>
      </c>
      <c r="P10" s="13">
        <f>SUM(L10:O10)</f>
        <v/>
      </c>
      <c r="Q10" s="13">
        <f>SUM(G10:J10)</f>
        <v/>
      </c>
      <c r="R10" s="5" t="n"/>
      <c r="S10" s="5" t="n"/>
      <c r="T10" s="4" t="n"/>
    </row>
    <row r="11">
      <c r="A11" s="16" t="n"/>
      <c r="B11" s="15" t="n"/>
      <c r="C11" s="14" t="n"/>
      <c r="D11" s="25" t="n"/>
      <c r="E11" s="10" t="n"/>
      <c r="F11" s="25" t="n"/>
      <c r="G11" s="13" t="n"/>
      <c r="H11" s="13" t="n"/>
      <c r="I11" s="13" t="n"/>
      <c r="J11" s="13" t="n"/>
      <c r="K11" s="13">
        <f>SUM(G11:J11)-SUM(L11:O11)</f>
        <v/>
      </c>
      <c r="L11" s="13" t="n"/>
      <c r="M11" s="13">
        <f>H11/101</f>
        <v/>
      </c>
      <c r="N11" s="13">
        <f>I11/11</f>
        <v/>
      </c>
      <c r="O11" s="13">
        <f>J11/6</f>
        <v/>
      </c>
      <c r="P11" s="13">
        <f>SUM(L11:O11)</f>
        <v/>
      </c>
      <c r="Q11" s="13">
        <f>SUM(G11:J11)</f>
        <v/>
      </c>
      <c r="R11" s="5" t="n"/>
      <c r="S11" s="5" t="n"/>
      <c r="T11" s="4" t="n"/>
    </row>
    <row r="12">
      <c r="A12" s="16" t="n"/>
      <c r="B12" s="15" t="n"/>
      <c r="C12" s="14" t="n"/>
      <c r="D12" s="25" t="n"/>
      <c r="E12" s="10" t="n"/>
      <c r="F12" s="25" t="n"/>
      <c r="G12" s="13" t="n"/>
      <c r="H12" s="13" t="n"/>
      <c r="I12" s="13" t="n"/>
      <c r="J12" s="13" t="n"/>
      <c r="K12" s="13">
        <f>SUM(G12:J12)-SUM(L12:O12)</f>
        <v/>
      </c>
      <c r="L12" s="13" t="n"/>
      <c r="M12" s="13">
        <f>H12/101</f>
        <v/>
      </c>
      <c r="N12" s="13">
        <f>I12/11</f>
        <v/>
      </c>
      <c r="O12" s="13">
        <f>J12/6</f>
        <v/>
      </c>
      <c r="P12" s="13">
        <f>SUM(L12:O12)</f>
        <v/>
      </c>
      <c r="Q12" s="13">
        <f>SUM(G12:J12)</f>
        <v/>
      </c>
      <c r="R12" s="5" t="n"/>
      <c r="S12" s="5" t="n"/>
      <c r="T12" s="4" t="n"/>
    </row>
    <row r="13">
      <c r="A13" s="16" t="n"/>
      <c r="B13" s="15" t="n"/>
      <c r="C13" s="14" t="n"/>
      <c r="D13" s="25" t="n"/>
      <c r="E13" s="10" t="n"/>
      <c r="F13" s="25" t="n"/>
      <c r="G13" s="13" t="n"/>
      <c r="H13" s="13" t="n"/>
      <c r="I13" s="13" t="n"/>
      <c r="J13" s="13" t="n"/>
      <c r="K13" s="13">
        <f>SUM(G13:J13)-SUM(L13:O13)</f>
        <v/>
      </c>
      <c r="L13" s="13" t="n"/>
      <c r="M13" s="13">
        <f>H13/101</f>
        <v/>
      </c>
      <c r="N13" s="13">
        <f>I13/11</f>
        <v/>
      </c>
      <c r="O13" s="13">
        <f>J13/6</f>
        <v/>
      </c>
      <c r="P13" s="13">
        <f>SUM(L13:O13)</f>
        <v/>
      </c>
      <c r="Q13" s="13">
        <f>SUM(G13:J13)</f>
        <v/>
      </c>
      <c r="R13" s="5" t="n"/>
      <c r="S13" s="5" t="n"/>
      <c r="T13" s="4" t="n"/>
    </row>
    <row r="14">
      <c r="B14" s="15" t="n"/>
      <c r="C14" s="14" t="n"/>
      <c r="D14" s="25" t="n"/>
      <c r="E14" s="10" t="n"/>
      <c r="F14" s="25" t="n"/>
      <c r="H14" s="13" t="n"/>
      <c r="I14" s="13" t="n"/>
      <c r="J14" s="13" t="n"/>
      <c r="K14" s="13">
        <f>SUM(G14:J14)-SUM(L14:O14)</f>
        <v/>
      </c>
      <c r="L14" s="13" t="n"/>
      <c r="M14" s="13">
        <f>H14/101</f>
        <v/>
      </c>
      <c r="N14" s="13">
        <f>I14/11</f>
        <v/>
      </c>
      <c r="O14" s="13">
        <f>J14/6</f>
        <v/>
      </c>
      <c r="P14" s="13">
        <f>SUM(L14:O14)</f>
        <v/>
      </c>
      <c r="Q14" s="13">
        <f>SUM(G14:J14)</f>
        <v/>
      </c>
      <c r="R14" s="5" t="n"/>
      <c r="S14" s="5" t="n"/>
      <c r="T14" s="4" t="n"/>
    </row>
    <row r="15">
      <c r="B15" s="15" t="n"/>
      <c r="C15" s="14" t="n"/>
      <c r="D15" s="25" t="n"/>
      <c r="E15" s="10" t="n"/>
      <c r="F15" s="25" t="n"/>
      <c r="H15" s="13" t="n"/>
      <c r="I15" s="13" t="n"/>
      <c r="J15" s="13" t="n"/>
      <c r="K15" s="13">
        <f>SUM(G15:J15)-SUM(L15:O15)</f>
        <v/>
      </c>
      <c r="L15" s="13" t="n"/>
      <c r="M15" s="13">
        <f>H15/101</f>
        <v/>
      </c>
      <c r="N15" s="13">
        <f>I15/11</f>
        <v/>
      </c>
      <c r="O15" s="13">
        <f>J15/6</f>
        <v/>
      </c>
      <c r="P15" s="13">
        <f>SUM(L15:O15)</f>
        <v/>
      </c>
      <c r="Q15" s="13">
        <f>SUM(G15:J15)</f>
        <v/>
      </c>
      <c r="R15" s="5" t="n"/>
      <c r="S15" s="5" t="n"/>
      <c r="T15" s="4" t="n"/>
    </row>
    <row r="16">
      <c r="A16" s="16" t="n"/>
      <c r="B16" s="15" t="n"/>
      <c r="C16" s="14" t="n"/>
      <c r="D16" s="25" t="n"/>
      <c r="E16" s="10" t="n"/>
      <c r="F16" s="25" t="n"/>
      <c r="H16" s="13" t="n"/>
      <c r="I16" s="13" t="n"/>
      <c r="J16" s="13" t="n"/>
      <c r="K16" s="13">
        <f>SUM(G16:J16)-SUM(L16:O16)</f>
        <v/>
      </c>
      <c r="L16" s="13" t="n"/>
      <c r="M16" s="13">
        <f>H16/101</f>
        <v/>
      </c>
      <c r="N16" s="13">
        <f>I16/11</f>
        <v/>
      </c>
      <c r="O16" s="13">
        <f>J16/6</f>
        <v/>
      </c>
      <c r="P16" s="13">
        <f>SUM(L16:O16)</f>
        <v/>
      </c>
      <c r="Q16" s="13">
        <f>SUM(G16:J16)</f>
        <v/>
      </c>
      <c r="R16" s="5" t="n"/>
      <c r="S16" s="5" t="n"/>
      <c r="T16" s="4" t="n"/>
    </row>
    <row r="17">
      <c r="A17" s="16" t="n"/>
      <c r="B17" s="15" t="n"/>
      <c r="C17" s="14" t="n"/>
      <c r="D17" s="25" t="n"/>
      <c r="E17" s="10" t="n"/>
      <c r="F17" s="25" t="n"/>
      <c r="G17" s="13" t="n"/>
      <c r="H17" s="13" t="n"/>
      <c r="I17" s="13" t="n"/>
      <c r="J17" s="13" t="n"/>
      <c r="K17" s="13">
        <f>SUM(G17:J17)-SUM(L17:O17)</f>
        <v/>
      </c>
      <c r="L17" s="13" t="n"/>
      <c r="M17" s="13">
        <f>H17/101</f>
        <v/>
      </c>
      <c r="N17" s="13">
        <f>I17/11</f>
        <v/>
      </c>
      <c r="O17" s="13">
        <f>J17/6</f>
        <v/>
      </c>
      <c r="P17" s="13">
        <f>SUM(L17:O17)</f>
        <v/>
      </c>
      <c r="Q17" s="13">
        <f>SUM(G17:J17)</f>
        <v/>
      </c>
      <c r="R17" s="5" t="n"/>
      <c r="S17" s="5" t="n"/>
      <c r="T17" s="4" t="n"/>
    </row>
    <row r="18">
      <c r="A18" s="16" t="n"/>
      <c r="B18" s="15" t="n"/>
      <c r="C18" s="14" t="n"/>
      <c r="D18" s="25" t="n"/>
      <c r="E18" s="10" t="n"/>
      <c r="F18" s="25" t="n"/>
      <c r="G18" s="13" t="n"/>
      <c r="H18" s="13" t="n"/>
      <c r="I18" s="13" t="n"/>
      <c r="J18" s="13" t="n"/>
      <c r="K18" s="13">
        <f>SUM(G18:J18)-SUM(L18:O18)</f>
        <v/>
      </c>
      <c r="L18" s="13" t="n"/>
      <c r="M18" s="13">
        <f>H18/101</f>
        <v/>
      </c>
      <c r="N18" s="13">
        <f>I18/11</f>
        <v/>
      </c>
      <c r="O18" s="13">
        <f>J18/6</f>
        <v/>
      </c>
      <c r="P18" s="13">
        <f>SUM(L18:O18)</f>
        <v/>
      </c>
      <c r="Q18" s="13">
        <f>SUM(G18:J18)</f>
        <v/>
      </c>
      <c r="R18" s="5" t="n"/>
      <c r="S18" s="5" t="n"/>
      <c r="T18" s="4" t="n"/>
    </row>
    <row r="19">
      <c r="A19" s="16" t="n"/>
      <c r="B19" s="15" t="n"/>
      <c r="C19" s="14" t="n"/>
      <c r="D19" s="25" t="n"/>
      <c r="E19" s="10" t="n"/>
      <c r="F19" s="25" t="n"/>
      <c r="G19" s="13" t="n"/>
      <c r="H19" s="13" t="n"/>
      <c r="I19" s="13" t="n"/>
      <c r="J19" s="13" t="n"/>
      <c r="K19" s="13">
        <f>SUM(G19:J19)-SUM(L19:O19)</f>
        <v/>
      </c>
      <c r="L19" s="13" t="n"/>
      <c r="M19" s="13">
        <f>H19/101</f>
        <v/>
      </c>
      <c r="N19" s="13">
        <f>I19/11</f>
        <v/>
      </c>
      <c r="O19" s="13">
        <f>J19/6</f>
        <v/>
      </c>
      <c r="P19" s="13">
        <f>SUM(L19:O19)</f>
        <v/>
      </c>
      <c r="Q19" s="13">
        <f>SUM(G19:J19)</f>
        <v/>
      </c>
      <c r="R19" s="5" t="n"/>
      <c r="S19" s="5" t="n"/>
      <c r="T19" s="4" t="n"/>
    </row>
    <row r="20">
      <c r="A20" s="16" t="n"/>
      <c r="B20" s="15" t="n"/>
      <c r="C20" s="14" t="n"/>
      <c r="D20" s="25" t="n"/>
      <c r="E20" s="10" t="n"/>
      <c r="F20" s="25" t="n"/>
      <c r="G20" s="13" t="n"/>
      <c r="H20" s="13" t="n"/>
      <c r="I20" s="13" t="n"/>
      <c r="J20" s="13" t="n"/>
      <c r="K20" s="13">
        <f>SUM(G20:J20)-SUM(L20:O20)</f>
        <v/>
      </c>
      <c r="L20" s="13" t="n"/>
      <c r="M20" s="13">
        <f>H20/101</f>
        <v/>
      </c>
      <c r="N20" s="13">
        <f>I20/11</f>
        <v/>
      </c>
      <c r="O20" s="13">
        <f>J20/6</f>
        <v/>
      </c>
      <c r="P20" s="13">
        <f>SUM(L20:O20)</f>
        <v/>
      </c>
      <c r="Q20" s="13">
        <f>SUM(G20:J20)</f>
        <v/>
      </c>
      <c r="R20" s="5" t="n"/>
      <c r="S20" s="5" t="n"/>
      <c r="T20" s="4" t="n"/>
    </row>
    <row r="21">
      <c r="A21" s="16" t="n"/>
      <c r="B21" s="15" t="n"/>
      <c r="C21" s="14" t="n"/>
      <c r="D21" s="25" t="n"/>
      <c r="E21" s="10" t="n"/>
      <c r="F21" s="25" t="n"/>
      <c r="H21" s="13" t="n"/>
      <c r="I21" s="13" t="n"/>
      <c r="J21" s="13" t="n"/>
      <c r="K21" s="13">
        <f>SUM(G21:J21)-SUM(L21:O21)</f>
        <v/>
      </c>
      <c r="L21" s="13" t="n"/>
      <c r="M21" s="13">
        <f>H21/101</f>
        <v/>
      </c>
      <c r="N21" s="13">
        <f>I21/11</f>
        <v/>
      </c>
      <c r="O21" s="13">
        <f>J21/6</f>
        <v/>
      </c>
      <c r="P21" s="13">
        <f>SUM(L21:O21)</f>
        <v/>
      </c>
      <c r="Q21" s="13">
        <f>SUM(G21:J21)</f>
        <v/>
      </c>
      <c r="R21" s="5" t="n"/>
      <c r="S21" s="5" t="n"/>
      <c r="T21" s="4" t="n"/>
    </row>
    <row r="22">
      <c r="A22" s="16" t="n"/>
      <c r="B22" s="15" t="n"/>
      <c r="C22" s="14" t="n"/>
      <c r="D22" s="25" t="n"/>
      <c r="E22" s="10" t="n"/>
      <c r="F22" s="25" t="n"/>
      <c r="G22" s="13" t="n"/>
      <c r="H22" s="13" t="n"/>
      <c r="I22" s="13" t="n"/>
      <c r="J22" s="13" t="n"/>
      <c r="K22" s="13">
        <f>SUM(G22:J22)-SUM(L22:O22)</f>
        <v/>
      </c>
      <c r="L22" s="13" t="n"/>
      <c r="M22" s="13">
        <f>H22/101</f>
        <v/>
      </c>
      <c r="N22" s="13">
        <f>I22/11</f>
        <v/>
      </c>
      <c r="O22" s="13">
        <f>J22/6</f>
        <v/>
      </c>
      <c r="P22" s="13">
        <f>SUM(L22:O22)</f>
        <v/>
      </c>
      <c r="Q22" s="13">
        <f>SUM(G22:J22)</f>
        <v/>
      </c>
      <c r="R22" s="5" t="n"/>
      <c r="S22" s="5" t="n"/>
      <c r="T22" s="4" t="n"/>
    </row>
    <row r="23">
      <c r="A23" s="16" t="n"/>
      <c r="B23" s="15" t="n"/>
      <c r="C23" s="14" t="n"/>
      <c r="D23" s="25" t="n"/>
      <c r="E23" s="10" t="n"/>
      <c r="F23" s="25" t="n"/>
      <c r="G23" s="13" t="n"/>
      <c r="H23" s="13" t="n"/>
      <c r="I23" s="13" t="n"/>
      <c r="J23" s="13" t="n"/>
      <c r="K23" s="13">
        <f>SUM(G23:J23)-SUM(L23:O23)</f>
        <v/>
      </c>
      <c r="L23" s="13" t="n"/>
      <c r="M23" s="13">
        <f>H23/101</f>
        <v/>
      </c>
      <c r="N23" s="13">
        <f>I23/11</f>
        <v/>
      </c>
      <c r="O23" s="13">
        <f>J23/6</f>
        <v/>
      </c>
      <c r="P23" s="13">
        <f>SUM(L23:O23)</f>
        <v/>
      </c>
      <c r="Q23" s="13">
        <f>SUM(G23:J23)</f>
        <v/>
      </c>
      <c r="R23" s="5" t="n"/>
      <c r="S23" s="5" t="n"/>
      <c r="T23" s="4" t="n"/>
    </row>
    <row r="24">
      <c r="A24" s="16" t="n"/>
      <c r="B24" s="15" t="n"/>
      <c r="C24" s="14" t="n"/>
      <c r="D24" s="25" t="n"/>
      <c r="E24" s="10" t="n"/>
      <c r="F24" s="25" t="n"/>
      <c r="G24" s="13" t="n"/>
      <c r="H24" s="13" t="n"/>
      <c r="I24" s="13" t="n"/>
      <c r="J24" s="13" t="n"/>
      <c r="K24" s="13">
        <f>SUM(G24:J24)-SUM(L24:O24)</f>
        <v/>
      </c>
      <c r="L24" s="13" t="n"/>
      <c r="M24" s="13">
        <f>H24/101</f>
        <v/>
      </c>
      <c r="N24" s="13">
        <f>I24/11</f>
        <v/>
      </c>
      <c r="O24" s="13">
        <f>J24/6</f>
        <v/>
      </c>
      <c r="P24" s="13">
        <f>SUM(L24:O24)</f>
        <v/>
      </c>
      <c r="Q24" s="13">
        <f>SUM(G24:J24)</f>
        <v/>
      </c>
      <c r="R24" s="5" t="n"/>
      <c r="S24" s="5" t="n"/>
      <c r="T24" s="4" t="n"/>
    </row>
    <row r="25">
      <c r="A25" s="16" t="n"/>
      <c r="B25" s="15" t="n"/>
      <c r="C25" s="14" t="n"/>
      <c r="D25" s="25" t="n"/>
      <c r="E25" s="10" t="n"/>
      <c r="F25" s="25" t="n"/>
      <c r="G25" s="13" t="n"/>
      <c r="H25" s="13" t="n"/>
      <c r="I25" s="13" t="n"/>
      <c r="J25" s="13" t="n"/>
      <c r="K25" s="13">
        <f>SUM(G25:J25)-SUM(L25:O25)</f>
        <v/>
      </c>
      <c r="L25" s="13" t="n"/>
      <c r="M25" s="13">
        <f>H25/101</f>
        <v/>
      </c>
      <c r="N25" s="13">
        <f>I25/11</f>
        <v/>
      </c>
      <c r="O25" s="13">
        <f>J25/6</f>
        <v/>
      </c>
      <c r="P25" s="13">
        <f>SUM(L25:O25)</f>
        <v/>
      </c>
      <c r="Q25" s="13">
        <f>SUM(G25:J25)</f>
        <v/>
      </c>
      <c r="R25" s="5" t="n"/>
      <c r="S25" s="5" t="n"/>
      <c r="T25" s="4" t="n"/>
    </row>
    <row r="26">
      <c r="A26" s="16" t="n"/>
      <c r="B26" s="15" t="n"/>
      <c r="C26" s="14" t="n"/>
      <c r="D26" s="25" t="n"/>
      <c r="E26" s="10" t="n"/>
      <c r="F26" s="25" t="n"/>
      <c r="G26" s="13" t="n"/>
      <c r="H26" s="13" t="n"/>
      <c r="I26" s="13" t="n"/>
      <c r="J26" s="13" t="n"/>
      <c r="K26" s="13">
        <f>SUM(G26:J26)-SUM(L26:O26)</f>
        <v/>
      </c>
      <c r="L26" s="13" t="n"/>
      <c r="M26" s="13">
        <f>H26/101</f>
        <v/>
      </c>
      <c r="N26" s="13">
        <f>I26/11</f>
        <v/>
      </c>
      <c r="O26" s="13">
        <f>J26/6</f>
        <v/>
      </c>
      <c r="P26" s="13">
        <f>SUM(L26:O26)</f>
        <v/>
      </c>
      <c r="Q26" s="13">
        <f>SUM(G26:J26)</f>
        <v/>
      </c>
      <c r="R26" s="5" t="n"/>
      <c r="S26" s="5" t="n"/>
      <c r="T26" s="4" t="n"/>
    </row>
    <row r="27">
      <c r="A27" s="16" t="n"/>
      <c r="B27" s="15" t="n"/>
      <c r="C27" s="14" t="n"/>
      <c r="D27" s="25" t="n"/>
      <c r="E27" s="10" t="n"/>
      <c r="F27" s="25" t="n"/>
      <c r="H27" s="13" t="n"/>
      <c r="I27" s="13" t="n"/>
      <c r="J27" s="13" t="n"/>
      <c r="K27" s="13">
        <f>SUM(G27:J27)-SUM(L27:O27)</f>
        <v/>
      </c>
      <c r="L27" s="13" t="n"/>
      <c r="M27" s="13">
        <f>H27/101</f>
        <v/>
      </c>
      <c r="N27" s="13">
        <f>I27/11</f>
        <v/>
      </c>
      <c r="O27" s="13">
        <f>J27/6</f>
        <v/>
      </c>
      <c r="P27" s="13">
        <f>SUM(L27:O27)</f>
        <v/>
      </c>
      <c r="Q27" s="13">
        <f>SUM(G27:J27)</f>
        <v/>
      </c>
      <c r="R27" s="5" t="n"/>
      <c r="S27" s="5" t="n"/>
      <c r="T27" s="4" t="n"/>
    </row>
    <row r="28">
      <c r="A28" s="16" t="n"/>
      <c r="B28" s="15" t="n"/>
      <c r="C28" s="14" t="n"/>
      <c r="D28" s="25" t="n"/>
      <c r="E28" s="10" t="n"/>
      <c r="F28" s="25" t="n"/>
      <c r="H28" s="13" t="n"/>
      <c r="I28" s="13" t="n"/>
      <c r="J28" s="13" t="n"/>
      <c r="K28" s="13">
        <f>SUM(G28:J28)-SUM(L28:O28)</f>
        <v/>
      </c>
      <c r="L28" s="13" t="n"/>
      <c r="M28" s="13">
        <f>H28/101</f>
        <v/>
      </c>
      <c r="N28" s="13">
        <f>I28/11</f>
        <v/>
      </c>
      <c r="O28" s="13">
        <f>J28/6</f>
        <v/>
      </c>
      <c r="P28" s="13">
        <f>SUM(L28:O28)</f>
        <v/>
      </c>
      <c r="Q28" s="13">
        <f>SUM(G28:J28)</f>
        <v/>
      </c>
      <c r="R28" s="5" t="n"/>
      <c r="S28" s="5" t="n"/>
      <c r="T28" s="4" t="n"/>
    </row>
    <row r="29">
      <c r="A29" s="16" t="n"/>
      <c r="B29" s="15" t="n"/>
      <c r="C29" s="14" t="n"/>
      <c r="D29" s="25" t="n"/>
      <c r="E29" s="10" t="n"/>
      <c r="F29" s="25" t="n"/>
      <c r="H29" s="13" t="n"/>
      <c r="I29" s="13" t="n"/>
      <c r="J29" s="13" t="n"/>
      <c r="K29" s="13">
        <f>SUM(G29:J29)-SUM(L29:O29)</f>
        <v/>
      </c>
      <c r="L29" s="13" t="n"/>
      <c r="M29" s="13">
        <f>H29/101</f>
        <v/>
      </c>
      <c r="N29" s="13">
        <f>I29/11</f>
        <v/>
      </c>
      <c r="O29" s="13">
        <f>J29/6</f>
        <v/>
      </c>
      <c r="P29" s="13">
        <f>SUM(L29:O29)</f>
        <v/>
      </c>
      <c r="Q29" s="13">
        <f>SUM(G29:J29)</f>
        <v/>
      </c>
      <c r="R29" s="5" t="n"/>
      <c r="S29" s="5" t="n"/>
      <c r="T29" s="4" t="n"/>
    </row>
    <row r="30">
      <c r="A30" s="16" t="n"/>
      <c r="B30" s="15" t="n"/>
      <c r="C30" s="14" t="n"/>
      <c r="D30" s="25" t="n"/>
      <c r="E30" s="10" t="n"/>
      <c r="F30" s="25" t="n"/>
      <c r="H30" s="13" t="n"/>
      <c r="I30" s="13" t="n"/>
      <c r="J30" s="13" t="n"/>
      <c r="K30" s="13">
        <f>SUM(G30:J30)-SUM(L30:O30)</f>
        <v/>
      </c>
      <c r="L30" s="13" t="n"/>
      <c r="M30" s="13">
        <f>H30/101</f>
        <v/>
      </c>
      <c r="N30" s="13">
        <f>I30/11</f>
        <v/>
      </c>
      <c r="O30" s="13">
        <f>J30/6</f>
        <v/>
      </c>
      <c r="P30" s="13">
        <f>SUM(L30:O30)</f>
        <v/>
      </c>
      <c r="Q30" s="13">
        <f>SUM(G30:J30)</f>
        <v/>
      </c>
      <c r="R30" s="5" t="n"/>
      <c r="S30" s="5" t="n"/>
      <c r="T30" s="4" t="n"/>
    </row>
    <row r="31">
      <c r="A31" s="16" t="n"/>
      <c r="B31" s="15" t="n"/>
      <c r="C31" s="14" t="n"/>
      <c r="D31" s="25" t="n"/>
      <c r="E31" s="10" t="n"/>
      <c r="F31" s="25" t="n"/>
      <c r="H31" s="13" t="n"/>
      <c r="I31" s="13" t="n"/>
      <c r="J31" s="13" t="n"/>
      <c r="K31" s="13">
        <f>SUM(G31:J31)-SUM(L31:O31)</f>
        <v/>
      </c>
      <c r="L31" s="13" t="n"/>
      <c r="M31" s="13">
        <f>H31/101</f>
        <v/>
      </c>
      <c r="N31" s="13">
        <f>I31/11</f>
        <v/>
      </c>
      <c r="O31" s="13">
        <f>J31/6</f>
        <v/>
      </c>
      <c r="P31" s="13">
        <f>SUM(L31:O31)</f>
        <v/>
      </c>
      <c r="Q31" s="13">
        <f>SUM(G31:J31)</f>
        <v/>
      </c>
      <c r="R31" s="5" t="n"/>
      <c r="S31" s="5" t="n"/>
      <c r="T31" s="4" t="n"/>
    </row>
    <row r="32">
      <c r="A32" s="16" t="n"/>
      <c r="B32" s="15" t="n"/>
      <c r="C32" s="14" t="n"/>
      <c r="D32" s="25" t="n"/>
      <c r="E32" s="10" t="n"/>
      <c r="F32" s="25" t="n"/>
      <c r="H32" s="13" t="n"/>
      <c r="I32" s="13" t="n"/>
      <c r="J32" s="13" t="n"/>
      <c r="K32" s="13">
        <f>SUM(G32:J32)-SUM(L32:O32)</f>
        <v/>
      </c>
      <c r="L32" s="13" t="n"/>
      <c r="M32" s="13">
        <f>H32/101</f>
        <v/>
      </c>
      <c r="N32" s="13">
        <f>I32/11</f>
        <v/>
      </c>
      <c r="O32" s="13">
        <f>J32/6</f>
        <v/>
      </c>
      <c r="P32" s="13">
        <f>SUM(L32:O32)</f>
        <v/>
      </c>
      <c r="Q32" s="13">
        <f>SUM(G32:J32)</f>
        <v/>
      </c>
      <c r="R32" s="5" t="n"/>
      <c r="S32" s="5" t="n"/>
      <c r="T32" s="4" t="n"/>
    </row>
    <row r="33">
      <c r="A33" s="16" t="n"/>
      <c r="B33" s="15" t="n"/>
      <c r="C33" s="14" t="n"/>
      <c r="D33" s="25" t="n"/>
      <c r="E33" s="10" t="n"/>
      <c r="F33" s="25" t="n"/>
      <c r="H33" s="13" t="n"/>
      <c r="I33" s="13" t="n"/>
      <c r="J33" s="13" t="n"/>
      <c r="K33" s="13">
        <f>SUM(G33:J33)-SUM(L33:O33)</f>
        <v/>
      </c>
      <c r="L33" s="13" t="n"/>
      <c r="M33" s="13">
        <f>H33/101</f>
        <v/>
      </c>
      <c r="N33" s="13">
        <f>I33/11</f>
        <v/>
      </c>
      <c r="O33" s="13">
        <f>J33/6</f>
        <v/>
      </c>
      <c r="P33" s="13">
        <f>SUM(L33:O33)</f>
        <v/>
      </c>
      <c r="Q33" s="13">
        <f>SUM(G33:J33)</f>
        <v/>
      </c>
      <c r="R33" s="5" t="n"/>
      <c r="S33" s="5" t="n"/>
      <c r="T33" s="4" t="n"/>
    </row>
    <row r="34">
      <c r="A34" s="16" t="n"/>
      <c r="B34" s="15" t="n"/>
      <c r="C34" s="14" t="n"/>
      <c r="D34" s="25" t="n"/>
      <c r="E34" s="10" t="n"/>
      <c r="F34" s="25" t="n"/>
      <c r="H34" s="13" t="n"/>
      <c r="I34" s="13" t="n"/>
      <c r="J34" s="13" t="n"/>
      <c r="K34" s="13">
        <f>SUM(G34:J34)-SUM(L34:O34)</f>
        <v/>
      </c>
      <c r="L34" s="13" t="n"/>
      <c r="M34" s="13">
        <f>H34/101</f>
        <v/>
      </c>
      <c r="N34" s="13">
        <f>I34/11</f>
        <v/>
      </c>
      <c r="O34" s="13">
        <f>J34/6</f>
        <v/>
      </c>
      <c r="P34" s="13">
        <f>SUM(L34:O34)</f>
        <v/>
      </c>
      <c r="Q34" s="13">
        <f>SUM(G34:J34)</f>
        <v/>
      </c>
      <c r="R34" s="5" t="n"/>
      <c r="S34" s="5" t="n"/>
      <c r="T34" s="4" t="n"/>
    </row>
    <row r="35">
      <c r="A35" s="16" t="n"/>
      <c r="B35" s="15" t="n"/>
      <c r="C35" s="14" t="n"/>
      <c r="D35" s="25" t="n"/>
      <c r="E35" s="10" t="n"/>
      <c r="F35" s="25" t="n"/>
      <c r="H35" s="13" t="n"/>
      <c r="I35" s="13" t="n"/>
      <c r="J35" s="13" t="n"/>
      <c r="K35" s="13">
        <f>SUM(G35:J35)-SUM(L35:O35)</f>
        <v/>
      </c>
      <c r="L35" s="13" t="n"/>
      <c r="M35" s="13">
        <f>H35/101</f>
        <v/>
      </c>
      <c r="N35" s="13">
        <f>I35/11</f>
        <v/>
      </c>
      <c r="O35" s="13">
        <f>J35/6</f>
        <v/>
      </c>
      <c r="P35" s="13">
        <f>SUM(L35:O35)</f>
        <v/>
      </c>
      <c r="Q35" s="13">
        <f>SUM(G35:J35)</f>
        <v/>
      </c>
      <c r="R35" s="5" t="n"/>
      <c r="S35" s="5" t="n"/>
      <c r="T35" s="4" t="n"/>
    </row>
    <row r="36">
      <c r="E36" s="10" t="n"/>
      <c r="K36" s="13">
        <f>SUM(G36:J36)-SUM(L36:O36)</f>
        <v/>
      </c>
      <c r="Q36" s="13">
        <f>SUM(G36:J36)</f>
        <v/>
      </c>
      <c r="R36" s="5" t="n"/>
      <c r="S36" s="5" t="n"/>
      <c r="T36" s="4" t="n"/>
    </row>
    <row r="37">
      <c r="A37" s="12" t="inlineStr">
        <is>
          <t>TOPLAM</t>
        </is>
      </c>
      <c r="B37" s="11" t="n"/>
      <c r="C37" s="11" t="n"/>
      <c r="D37" s="8" t="n"/>
      <c r="E37" s="10" t="n"/>
      <c r="F37" s="8" t="n"/>
      <c r="G37" s="6">
        <f>SUM(G4:G35)</f>
        <v/>
      </c>
      <c r="H37" s="6">
        <f>SUM(H4:H35)</f>
        <v/>
      </c>
      <c r="I37" s="6">
        <f>SUM(I4:I35)</f>
        <v/>
      </c>
      <c r="J37" s="6">
        <f>SUM(J4:J35)</f>
        <v/>
      </c>
      <c r="K37" s="6">
        <f>SUM(G37:J37)-SUM(L37:O37)</f>
        <v/>
      </c>
      <c r="L37" s="6">
        <f>SUM(L4:L35)</f>
        <v/>
      </c>
      <c r="M37" s="6">
        <f>SUM(M4:M35)</f>
        <v/>
      </c>
      <c r="N37" s="6">
        <f>SUM(N4:N35)</f>
        <v/>
      </c>
      <c r="O37" s="6">
        <f>SUM(O4:O35)</f>
        <v/>
      </c>
      <c r="P37" s="6">
        <f>SUM(P4:P35)</f>
        <v/>
      </c>
      <c r="Q37" s="13">
        <f>SUM(G37:J37)</f>
        <v/>
      </c>
      <c r="T37" s="4" t="n"/>
    </row>
    <row r="38">
      <c r="B38" s="7" t="n"/>
      <c r="R38" s="9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</sheetData>
  <autoFilter ref="A3:BP38">
    <sortState ref="A4:BP38">
      <sortCondition descending="1" ref="B3:B38"/>
    </sortState>
  </autoFilter>
  <pageMargins left="0.75" right="0.75" top="0.75" bottom="0.5" header="0.5" footer="0.75"/>
  <pageSetup orientation="portrait" paperSize="9" scale="33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2026-06-21T18:04:28Z</dcterms:created>
  <dcterms:modified xmlns:dcterms="http://purl.org/dc/terms/" xmlns:xsi="http://www.w3.org/2001/XMLSchema-instance" xsi:type="dcterms:W3CDTF">2026-09-30T21:11:08Z</dcterms:modified>
  <cp:lastModifiedBy>Özdemir TUFAN</cp:lastModifiedBy>
</cp:coreProperties>
</file>